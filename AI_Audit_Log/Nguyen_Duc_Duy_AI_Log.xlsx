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529c47e79545ed" /></Relationships>
</file>

<file path=xl/workbook.xml><?xml version="1.0" encoding="utf-8"?>
<x:workbook xmlns:x="http://schemas.openxmlformats.org/spreadsheetml/2006/main">
  <x:sheets>
    <x:sheet xmlns:r="http://schemas.openxmlformats.org/officeDocument/2006/relationships" name="1. Metadata &amp; Summary" sheetId="1" r:id="R681938d972754739"/>
    <x:sheet xmlns:r="http://schemas.openxmlformats.org/officeDocument/2006/relationships" name="2. Detailed Audit Log" sheetId="2" r:id="R7147556b025e48ca"/>
    <x:sheet xmlns:r="http://schemas.openxmlformats.org/officeDocument/2006/relationships" name="3. Hallucination Detection" sheetId="3" r:id="Ra98c76f3ecd64459"/>
    <x:sheet xmlns:r="http://schemas.openxmlformats.org/officeDocument/2006/relationships" name="4. Self-Assessment Checklist" sheetId="4" r:id="R1be01f84c5344c53"/>
  </x:sheets>
</x:workbook>
</file>

<file path=xl/sharedStrings.xml><?xml version="1.0" encoding="utf-8"?>
<x:sst xmlns:x="http://schemas.openxmlformats.org/spreadsheetml/2006/main">
  <x:si>
    <x:t xml:space="preserve">AI AUDIT LOG - METADATA &amp; SUMMARY</x:t>
  </x:si>
  <x:si>
    <x:t xml:space="preserve">STUDENT INFORMATION</x:t>
  </x:si>
  <x:si>
    <x:t xml:space="preserve">Student Name:</x:t>
  </x:si>
  <x:si>
    <x:t xml:space="preserve">Nguyễn Đức Duy</x:t>
  </x:si>
  <x:si>
    <x:t xml:space="preserve">Student ID:</x:t>
  </x:si>
  <x:si>
    <x:t xml:space="preserve">QE200054</x:t>
  </x:si>
  <x:si>
    <x:t xml:space="preserve">Course:</x:t>
  </x:si>
  <x:si>
    <x:t xml:space="preserve">LAB211</x:t>
  </x:si>
  <x:si>
    <x:t xml:space="preserve">Assignment:</x:t>
  </x:si>
  <x:si>
    <x:t xml:space="preserve">Employee Payroll Management Simulation</x:t>
  </x:si>
  <x:si>
    <x:t xml:space="preserve">AI USAGE SUMMARY</x:t>
  </x:si>
  <x:si>
    <x:t xml:space="preserve">Total Prompts Used (all AI tools):</x:t>
  </x:si>
  <x:si>
    <x:t xml:space="preserve">Core Prompts Logged:</x:t>
  </x:si>
  <x:si>
    <x:t xml:space="preserve">Selection Ratio:</x:t>
  </x:si>
  <x:si>
    <x:t xml:space="preserve">Should be 10-20%</x:t>
  </x:si>
  <x:si>
    <x:t xml:space="preserve">Hallucination Detected:</x:t>
  </x:si>
  <x:si>
    <x:t xml:space="preserve">AI TOOLS USED</x:t>
  </x:si>
  <x:si>
    <x:t xml:space="preserve">AI Tool</x:t>
  </x:si>
  <x:si>
    <x:t xml:space="preserve">Purpose</x:t>
  </x:si>
  <x:si>
    <x:t xml:space="preserve">Frequency</x:t>
  </x:si>
  <x:si>
    <x:t xml:space="preserve">Main Value</x:t>
  </x:si>
  <x:si>
    <x:t xml:space="preserve">CORE PROMPTS DISTRIBUTION BY DTC COMPONENT</x:t>
  </x:si>
  <x:si>
    <x:t xml:space="preserve">DTC Component</x:t>
  </x:si>
  <x:si>
    <x:t xml:space="preserve">Number of Prompts</x:t>
  </x:si>
  <x:si>
    <x:t xml:space="preserve">Required (Min)</x:t>
  </x:si>
  <x:si>
    <x:t xml:space="preserve">Decomposition</x:t>
  </x:si>
  <x:si>
    <x:t xml:space="preserve">≥ 1</x:t>
  </x:si>
  <x:si>
    <x:t xml:space="preserve">Pattern Recognition</x:t>
  </x:si>
  <x:si>
    <x:t xml:space="preserve">Abstraction</x:t>
  </x:si>
  <x:si>
    <x:t xml:space="preserve">Algorithms</x:t>
  </x:si>
  <x:si>
    <x:t xml:space="preserve">DETAILED AI AUDIT LOG</x:t>
  </x:si>
  <x:si>
    <x:t xml:space="preserve">INSTRUCTIONS: Chỉ ghi CORE PROMPTS (Decision/Problem-Solving/Verification). Mỗi entry phải trả lời đầy đủ 4 câu hỏi trong Human Delta.</x:t>
  </x:si>
  <x:si>
    <x:t xml:space="preserve">Entry #</x:t>
  </x:si>
  <x:si>
    <x:t xml:space="preserve">Prompt Type</x:t>
  </x:si>
  <x:si>
    <x:t xml:space="preserve">Stage/Component</x:t>
  </x:si>
  <x:si>
    <x:t xml:space="preserve">Problem/Context</x:t>
  </x:si>
  <x:si>
    <x:t xml:space="preserve">Prompt to AI</x:t>
  </x:si>
  <x:si>
    <x:t xml:space="preserve">AI Response (Summary)</x:t>
  </x:si>
  <x:si>
    <x:t xml:space="preserve">Human Delta &amp; Reflection</x:t>
  </x:si>
  <x:si>
    <x:t xml:space="preserve">Evidence</x:t>
  </x:si>
  <x:si>
    <x:t xml:space="preserve">DECISION</x:t>
  </x:si>
  <x:si>
    <x:t xml:space="preserve">Cần chia nhỏ requirement</x:t>
  </x:si>
  <x:si>
    <x:t xml:space="preserve">Break down student management into modules</x:t>
  </x:si>
  <x:si>
    <x:t xml:space="preserve">AI suggested 10 modules: User, Student, Course, Grade, Attendance, Report, Export, Import, Settings, Dashboard</x:t>
  </x:si>
  <x:si>
    <x:t xml:space="preserve">Critical Thinking: 10 modules quá nhiều cho project 300 LOC.
Contextualization: Project scope nhỏ, chỉ cần core functions.
Creative Synthesis: Tôi gộp thành 5 modules: Student, Grade, File I/O, Validation, UI.
Decision: Chọn 5 modules vì đủ để implement requirements mà không phức tạp.</x:t>
  </x:si>
  <x:si>
    <x:t xml:space="preserve">Screenshot comparison 10 vs 5</x:t>
  </x:si>
  <x:si>
    <x:t xml:space="preserve">002</x:t>
  </x:si>
  <x:si>
    <x:t xml:space="preserve">PROBLEM-SOLVING</x:t>
  </x:si>
  <x:si>
    <x:t xml:space="preserve">Search by name quá chậm với 10K records</x:t>
  </x:si>
  <x:si>
    <x:t xml:space="preserve">How to optimize search for player name in 10,000 records?</x:t>
  </x:si>
  <x:si>
    <x:t xml:space="preserve">AI suggested Binary Search with O(log n) complexity</x:t>
  </x:si>
  <x:si>
    <x:t xml:space="preserve">Critical Thinking: Binary Search cần sort trước → O(n log n). Với partial match không phù hợp.
Contextualization: Requirements yêu cầu partial name search.
Creative Synthesis: Test 3 approaches: Binary Search, Linear Search, HashMap. HashMap fastest (2ms).
Decision: Chọn HashMap trade-off memory cho speed.</x:t>
  </x:si>
  <x:si>
    <x:t xml:space="preserve">Code snippet + timing comparison</x:t>
  </x:si>
  <x:si>
    <x:t xml:space="preserve">003</x:t>
  </x:si>
  <x:si>
    <x:t xml:space="preserve">VERIFICATION</x:t>
  </x:si>
  <x:si>
    <x:t xml:space="preserve">Literature Review</x:t>
  </x:si>
  <x:si>
    <x:t xml:space="preserve">Cần verify paper AI cite</x:t>
  </x:si>
  <x:si>
    <x:t xml:space="preserve">Is the paper 'Smith et al. 2023 on IoT anomaly detection' a real publication?</x:t>
  </x:si>
  <x:si>
    <x:t xml:space="preserve">AI confirmed it exists and provided summary</x:t>
  </x:si>
  <x:si>
    <x:t xml:space="preserve">Critical Thinking: HALLUCINATION DETECTED! Search Google Scholar → paper NOT FOUND.
Contextualization: AI fabricated paper to answer my question.
Creative Synthesis: Found real paper 'Jones et al. 2022' with similar topic.
Decision: Replace with verified paper from Google Scholar.</x:t>
  </x:si>
  <x:si>
    <x:t xml:space="preserve">Google Scholar screenshot</x:t>
  </x:si>
  <x:si>
    <x:t xml:space="preserve">#001</x:t>
  </x:si>
  <x:si>
    <x:t xml:space="preserve">The project did not have a clear actor structure for the Use Case Diagram.</x:t>
  </x:si>
  <x:si>
    <x:t xml:space="preserve">Please analyze in detail the functions of each actor for me. I want to know all the functions that an actor can perform.</x:t>
  </x:si>
  <x:si>
    <x:t xml:space="preserve">The AI suggested four main actors: Employee, HR Staff, Payroll Staff, and System/Thread. It also explained the responsibilities of each actor and their interactions with different functional areas.</x:t>
  </x:si>
  <x:si>
    <x:t xml:space="preserve">Critical Thinking: I evaluated whether all suggested actors were necessary for the project.   Contextualization: I compared the actor list with the UML design and project requirements.                    Creative Synthesis: I simplified the design by removing unnecessary actors and keeping only actors directly related to payroll and system operations.           Decision: I finalized four actors: Employee, HR Staff, Payroll Staff, and System/Thread.</x:t>
  </x:si>
  <x:si>
    <x:t xml:space="preserve">Final Use Case Diagram showing the four actors and an actor–function responsibility mapping table.</x:t>
  </x:si>
  <x:si>
    <x:t xml:space="preserve">#002</x:t>
  </x:si>
  <x:si>
    <x:t xml:space="preserve">It was unclear whether payroll functions should belong to HR Staff or Payroll Staff.</x:t>
  </x:si>
  <x:si>
    <x:t xml:space="preserve">Review the actors used in the Payroll Processing Area.</x:t>
  </x:si>
  <x:si>
    <x:t xml:space="preserve">The AI suggested that Payroll Staff should be responsible for payroll-related operations such as salary calculation and payroll execution.</x:t>
  </x:si>
  <x:si>
    <x:t xml:space="preserve">Critical Thinking: I analyzed the responsibilities of HR Staff and Payroll Staff.
Contextualization: Payroll processing is a financial activity rather than a human resource activity.
Creative Synthesis: I reassigned payroll functions from HR Staff to Payroll Staff.
Decision: Payroll Staff became the primary actor in the Payroll Processing Area.</x:t>
  </x:si>
  <x:si>
    <x:t xml:space="preserve">Revised Payroll Processing Area in the Use Case Diagram and a responsibility comparison between HR Staff and Payroll Staff.</x:t>
  </x:si>
  <x:si>
    <x:t xml:space="preserve">#003</x:t>
  </x:si>
  <x:si>
    <x:t xml:space="preserve">The original Use Case Diagram lacked attendance recording functions.</x:t>
  </x:si>
  <x:si>
    <x:t xml:space="preserve">The lecturer said that the attendance tracking function is missing.</x:t>
  </x:si>
  <x:si>
    <x:t xml:space="preserve">The AI suggested adding Check In, Check Out, and Record Attendance use cases.</x:t>
  </x:si>
  <x:si>
    <x:t xml:space="preserve">Critical Thinking: I realized that the system only supported viewing attendance information.
Contextualization: Real attendance systems must record attendance activities.
Creative Synthesis: I added attendance recording functions to complete the workflow.
Decision: I expanded the Attendance Management Area with Check In, Check Out, and Record Attendance.</x:t>
  </x:si>
  <x:si>
    <x:t xml:space="preserve">Before-and-after Use Case Diagram screenshots showing the addition of Check In, Check Out, and Record Attendance.</x:t>
  </x:si>
  <x:si>
    <x:t xml:space="preserve">#004</x:t>
  </x:si>
  <x:si>
    <x:t xml:space="preserve">Research Stage</x:t>
  </x:si>
  <x:si>
    <x:t xml:space="preserve">The system lacked a process for handling attendance correction requests.</x:t>
  </x:si>
  <x:si>
    <x:t xml:space="preserve">Should employees be required to submit attendance adjustment requests?</x:t>
  </x:si>
  <x:si>
    <x:t xml:space="preserve">The AI suggested implementing an attendance adjustment workflow, including submission, review, approval, and rejection.</x:t>
  </x:si>
  <x:si>
    <x:t xml:space="preserve">Critical Thinking: I considered cases where employees forget to check in or check out.
Contextualization: Attendance correction is common in real organizations.
Creative Synthesis: I added attendance adjustment requests and approval processes.
Decision: I integrated attendance adjustment functionality into the Attendance Management Area.</x:t>
  </x:si>
  <x:si>
    <x:t xml:space="preserve">Attendance-adjustment workflow in the final Use Case Diagram, including Submit, Approve/Reject, and Update Attendance use cases.</x:t>
  </x:si>
  <x:si>
    <x:t xml:space="preserve">#005</x:t>
  </x:si>
  <x:si>
    <x:t xml:space="preserve">The relationship between attendance approval and attendance update was unclear.</x:t>
  </x:si>
  <x:si>
    <x:t xml:space="preserve">What is the relationship between Submit Attendance Adjustment Request, Approve Attendance Adjustment, and Update Attendance Record?</x:t>
  </x:si>
  <x:si>
    <x:t xml:space="preserve">The AI suggested using Include between Approve Attendance Adjustment and Update Attendance Record.</x:t>
  </x:si>
  <x:si>
    <x:t xml:space="preserve">Critical Thinking: I analyzed whether updating attendance is optional or mandatory after approval.
Contextualization: Attendance records must be updated once a correction request is approved.
Creative Synthesis: I linked the approval process directly to attendance updates.
Decision: I used an Include relationship between Approve Attendance Adjustment and Update Attendance Record.</x:t>
  </x:si>
  <x:si>
    <x:t xml:space="preserve">UML relationship screenshot showing &lt;&lt;include&gt;&gt; between Approve Attendance Adjustment and Update Attendance.</x:t>
  </x:si>
  <x:si>
    <x:t xml:space="preserve">#006</x:t>
  </x:si>
  <x:si>
    <x:t xml:space="preserve">The correct UML relationship for leave approval was unclear.</x:t>
  </x:si>
  <x:si>
    <x:t xml:space="preserve">Approve Leave Request always requires checking the leave balance. After approval, the leave balance must be updated. Which use cases should have an &lt;&lt;include&gt;&gt; relationship?</x:t>
  </x:si>
  <x:si>
    <x:t xml:space="preserve">The AI recommended using Include relationships for Check Leave Balance and Update Leave Balance.</x:t>
  </x:si>
  <x:si>
    <x:t xml:space="preserve">Critical Thinking: I reviewed the leave approval process.
Contextualization: Leave balance verification and updates always occur during approval.
Creative Synthesis: I classified both actions as mandatory subprocesses.
Decision: I used Include relationships for both use cases.</x:t>
  </x:si>
  <x:si>
    <x:t xml:space="preserve">UML relationship screenshot showing &lt;&lt;include&gt;&gt; from Approve Leave Request to Check Leave Balance and Update Leave Balance.</x:t>
  </x:si>
  <x:si>
    <x:t xml:space="preserve">#007</x:t>
  </x:si>
  <x:si>
    <x:t xml:space="preserve">RESEARCH STAGE</x:t>
  </x:si>
  <x:si>
    <x:t xml:space="preserve">The purpose and workflow of the Simulation &amp; Synchronization Area were unclear.</x:t>
  </x:si>
  <x:si>
    <x:t xml:space="preserve">Please explain each function in the Simulation &amp; Synchronization Area.</x:t>
  </x:si>
  <x:si>
    <x:t xml:space="preserve">The AI explained payroll simulation, lock mechanisms, race condition detection, execution time measurement, and simulation reports.</x:t>
  </x:si>
  <x:si>
    <x:t xml:space="preserve">Critical Thinking: I evaluated how synchronization concepts contribute to the project.
Contextualization: The project aims to demonstrate concurrency and multithreading concepts.
Creative Synthesis: I retained synchronization-related functions and organized them into a dedicated area.
Decision: I adopted Simulation &amp; Synchronization as a major project component.</x:t>
  </x:si>
  <x:si>
    <x:t xml:space="preserve">Simulation &amp; Synchronization architecture diagram and related source files: LockMechanism.java, PayrollSimulationService.java, SimulationDetector.java, and SimulatorView.java.</x:t>
  </x:si>
  <x:si>
    <x:t xml:space="preserve">#008</x:t>
  </x:si>
  <x:si>
    <x:t xml:space="preserve">Need to verify whether the payroll system can prevent duplicate payment when two threads process the same payroll entry simultaneously.</x:t>
  </x:si>
  <x:si>
    <x:t xml:space="preserve">có thể thêm code test xung dột dữ liệu ko</x:t>
  </x:si>
  <x:si>
    <x:r>
      <x:rPr>
        <x:sz val="11"/>
        <x:color theme="1"/>
        <x:rFont val="Calibri"/>
        <x:scheme val="minor"/>
      </x:rPr>
      <x:t xml:space="preserve">AI suggested creating a new JUnit test that launches two threads simultaneously to invoke </x:t>
    </x:r>
    <x:r>
      <x:rPr>
        <x:sz val="11"/>
        <x:color theme="1"/>
        <x:rFont val="Calibri"/>
        <x:scheme val="minor"/>
      </x:rPr>
      <x:t xml:space="preserve">processWithSync()</x:t>
    </x:r>
    <x:r>
      <x:rPr>
        <x:sz val="11"/>
        <x:color theme="1"/>
        <x:rFont val="Calibri"/>
        <x:scheme val="minor"/>
      </x:rPr>
      <x:t xml:space="preserve">. The response recommended using </x:t>
    </x:r>
    <x:r>
      <x:rPr>
        <x:sz val="11"/>
        <x:color theme="1"/>
        <x:rFont val="Calibri"/>
        <x:scheme val="minor"/>
      </x:rPr>
      <x:t xml:space="preserve">AtomicInteger</x:t>
    </x:r>
    <x:r>
      <x:rPr>
        <x:sz val="11"/>
        <x:color theme="1"/>
        <x:rFont val="Calibri"/>
        <x:scheme val="minor"/>
      </x:rPr>
      <x:t xml:space="preserve"> to count successful and failed executions and </x:t>
    </x:r>
    <x:r>
      <x:rPr>
        <x:sz val="11"/>
        <x:color theme="1"/>
        <x:rFont val="Calibri"/>
        <x:scheme val="minor"/>
      </x:rPr>
      <x:t xml:space="preserve">assertThrows()</x:t>
    </x:r>
    <x:r>
      <x:rPr>
        <x:sz val="11"/>
        <x:color theme="1"/>
        <x:rFont val="Calibri"/>
        <x:scheme val="minor"/>
      </x:rPr>
      <x:t xml:space="preserve"> to verify optimistic locking conflicts.</x:t>
    </x:r>
  </x:si>
  <x:si>
    <x:t xml:space="preserve">Critical Thinking:
The suggested concurrent test is suitable for validating synchronization. However, I realized that this test only verifies the synchronized approach and does not validate optimistic locking.
Contextualization:
My Payroll project contains both processWithSync() and processWithOptimistic(), so one concurrency test is not sufficient to evaluate both mechanisms.
Creative Synthesis:
I kept the original synchronized test and decided to add another JUnit test specifically for processWithOptimistic() to simulate version conflicts.
Decision Ownership:
I accepted the AI's recommendation for synchronization testing but extended the testing strategy by adding a separate optimistic locking test because it better matches my repository implementation.</x:t>
  </x:si>
  <x:si>
    <x:t xml:space="preserve">PayrollEntryRepositoryTest.java, JUnit Test Result</x:t>
  </x:si>
  <x:si>
    <x:t xml:space="preserve">#009</x:t>
  </x:si>
  <x:si>
    <x:t xml:space="preserve">Need to determine the difference between synchronization and optimistic locking before deciding which implementation to use.</x:t>
  </x:si>
  <x:si>
    <x:t xml:space="preserve">processWithOptimistic và processWithSync là để làm gì</x:t>
  </x:si>
  <x:si>
    <x:t xml:space="preserve">AI explained that processWithSync() prevents concurrent execution by allowing only one thread to enter the critical section at a time. In contrast, processWithOptimistic() does not block threads but detects version conflicts before updating the payroll entry.</x:t>
  </x:si>
  <x:si>
    <x:t xml:space="preserve">Critical Thinking:
The explanation correctly distinguished pessimistic and optimistic concurrency control. However, AI did not initially explain when each technique should be preferred.
Contextualization:
My project mainly processes payroll in a local CSV repository with relatively low concurrency, so synchronization is sufficient for the current implementation.
Creative Synthesis:
I decided to keep both implementations because they demonstrate two different concurrency control strategies required by the project.
Decision Ownership:
I chose processWithSync() for the current execution flow while preserving processWithOptimistic() for demonstrating optimistic locking and future scalability.</x:t>
  </x:si>
  <x:si>
    <x:t xml:space="preserve">PayrollEntryRepository.java, comparison of both methods.</x:t>
  </x:si>
  <x:si>
    <x:t xml:space="preserve">#010</x:t>
  </x:si>
  <x:si>
    <x:t xml:space="preserve">Need to understand why duplicate payment checking still exists inside processWithOptimistic() although version checking has already been performed.</x:t>
  </x:si>
  <x:si>
    <x:t xml:space="preserve">vậy tại sao ở ngoài đã có trả luoenh hai lần nhưng trong processWithOptimistic lại có nữa, mục đích là để làm gì</x:t>
  </x:si>
  <x:si>
    <x:t xml:space="preserve">AI explained that version checking only detects concurrent updates, whereas duplicate payment checking verifies the business rule that a processed payroll entry must never be processed again. Both validations are required because they address different problems.</x:t>
  </x:si>
  <x:si>
    <x:t xml:space="preserve">Critical Thinking:
AI correctly separated concurrency control from business validation. There was no contradiction between the two checks.
Contextualization:
The Payroll project requires both data consistency and prevention of duplicate salary payments, so removing either validation could introduce defects.
Creative Synthesis:
I retained both version validation and processed-status validation after understanding that they serve different purposes.
Decision Ownership:
I decided not to simplify the method because keeping both checks improves both data integrity and business correctness.</x:t>
  </x:si>
  <x:si>
    <x:t xml:space="preserve">processWithOptimistic() implementation and related discussion.</x:t>
  </x:si>
  <x:si>
    <x:t xml:space="preserve">#011</x:t>
  </x:si>
  <x:si>
    <x:t xml:space="preserve">Need to understand how file paths are injected into the repository instead of being automatically assigned.</x:t>
  </x:si>
  <x:si>
    <x:t xml:space="preserve">trong project của tôi chỗ nào nó gắn liên kết cho filePath</x:t>
  </x:si>
  <x:si>
    <x:t xml:space="preserve">AI explained that the repository receives the CSV path through constructor injection when the repository object is instantiated.</x:t>
  </x:si>
  <x:si>
    <x:t xml:space="preserve">Critical Thinking
I initially assumed Java automatically connected the repository to the CSV file.
Contextualization
The project manually creates repositories inside the Controller using different CSV paths.
Creative Synthesis
I traced the object creation process to understand dependency injection in my own project.
Decision Ownership
I retained constructor injection because it allows the repository to be reused with different data sources.</x:t>
  </x:si>
  <x:si>
    <x:t xml:space="preserve">Repository constructor</x:t>
  </x:si>
  <x:si>
    <x:t xml:space="preserve">#012</x:t>
  </x:si>
  <x:si>
    <x:t xml:space="preserve">The employee update feature returned directly to the main menu when an invalid department ID was entered instead of requesting a new input.</x:t>
  </x:si>
  <x:si>
    <x:t xml:space="preserve">đọc code này, tôi đang gặp vấn đề khi tôi cập nhật nhân viên, tôi cập nhật phòng ban cho nó và tôi nhập id phòng ban ko tồn tại nhưng nó next qua menu luôn, có cách nào đê khi nhập sai thì nó báo lỗi ko tồn tại rồi nó bắt nhập lại ko</x:t>
  </x:si>
  <x:si>
    <x:t xml:space="preserve">AI identified that the issue originated in the View layer instead of the Controller. It recommended introducing a validation loop so that invalid department IDs would trigger an error message and require the user to enter a valid department before continuing.</x:t>
  </x:si>
  <x:si>
    <x:t xml:space="preserve">Critical Thinking
The suggestion correctly solved the interaction issue. However, I also realized that the original employee object should not permanently store an invalid department ID during validation.
Contextualization
My project validates department existence in the Controller, but user interaction is handled in the View.
Creative Synthesis
I combined AI's suggestion with my existing update workflow by keeping the Controller validation unchanged while adding repeated input handling in the View.
Decision Ownership
I accepted the approach because it improves usability without changing the overall system architecture.</x:t>
  </x:si>
  <x:si>
    <x:t xml:space="preserve">EmployeeView.java</x:t>
  </x:si>
  <x:si>
    <x:t xml:space="preserve">#013</x:t>
  </x:si>
  <x:si>
    <x:t xml:space="preserve">When an employee selected the leave-management function, the program only displayed leave-balance information and did not provide an option to submit a request.</x:t>
  </x:si>
  <x:si>
    <x:t xml:space="preserve">“Tại sao bấm vào chức năng xem/nộp đơn nghỉ phép thì nó chỉ hiện số ngày nghỉ và số ngày đã nghỉ mà không chọn nộp đơn?”</x:t>
  </x:si>
  <x:si>
    <x:t xml:space="preserve">The AI identified that LeaveView was directly calling the balance-view function instead of displaying a submenu. It suggested creating showEmployeeMenu() with options to submit a request, view the balance, or return.</x:t>
  </x:si>
  <x:si>
    <x:t xml:space="preserve">Critical Thinking: The problem was located in the View flow rather than the Controller or Repository.
Contextualization: One main-menu option represented two separate employee actions.
Creative Synthesis: I introduced a submenu and separated submitLeave() from viewBalance().
Decision Ownership: I modified only the View and preserved the existing business logic.</x:t>
  </x:si>
  <x:si>
    <x:t xml:space="preserve">User-interface screenshots before and after correction; showEmployeeMenu() implementation.</x:t>
  </x:si>
  <x:si>
    <x:t xml:space="preserve">#014</x:t>
  </x:si>
  <x:si>
    <x:t xml:space="preserve">When the requested leave days exceeded the employee’s remaining balance, the program displayed a CSV-related error instead of a clear insufficient-balance message.
</x:t>
  </x:si>
  <x:si>
    <x:t xml:space="preserve">“Khi tôi nhập số ngày nghỉ lớn hơn số ngày nghỉ còn lại thì nó xuất hiện cái lỗi đó.”</x:t>
  </x:si>
  <x:si>
    <x:t xml:space="preserve">After receiving additional context, the AI determined that the problem was not file encoding. The actual issue was that submitLeave() did not call hasEnoughLeave() before creating and saving the leave request.</x:t>
  </x:si>
  <x:si>
    <x:t xml:space="preserve">Critical Thinking: The AI’s initial encoding diagnosis was incorrect because the problem occurred only under a specific business condition.
Contextualization: Invalid leave requests were being written to CSV before the balance was checked.
Creative Synthesis: I added balance validation, leave-type checking, and a message comparing the requested days with the remaining days.
Decision Ownership: I performed all validation before creating a LeaveRequest or writing data to the file.</x:t>
  </x:si>
  <x:si>
    <x:t xml:space="preserve">Test using a request for 10 days when only 5 remained; corrected error message; unit test for hasEnoughLeave()</x:t>
  </x:si>
  <x:si>
    <x:t xml:space="preserve">#015</x:t>
  </x:si>
  <x:si>
    <x:t xml:space="preserve">An employee account could log in successfully, but the system reported that no leave balance existed even though the record was present in the CSV file.</x:t>
  </x:si>
  <x:si>
    <x:t xml:space="preserve">“Sao tôi đăng nhập với tk employee, tôi tìm chức năng xem số ngày nghỉ, nó hiện ko tìm thấy số ngày nghỉ trong khi tôi kiểm tra thấy số ngày nghỉ vẫn còn?”</x:t>
  </x:si>
  <x:si>
    <x:t xml:space="preserve">The AI identified that findByEmployeeId() incorrectly called findById(). The inherited method searched using balanceId, while the user entered an empId.</x:t>
  </x:si>
  <x:si>
    <x:t xml:space="preserve">Critical Thinking: I checked the CSV structure and confirmed that balanceId and empId were two different fields.
Contextualization: findById() was behaving correctly according to the primary key, but it was being called from the wrong method.
Creative Synthesis: I rewrote findByEmployeeId() to filter records using LeaveBalance.getEmpId().
Decision Ownership: I changed only the employee-specific query and preserved the generic primary-key method.</x:t>
  </x:si>
  <x:si>
    <x:t xml:space="preserve">Original and corrected findByEmployeeId() code; screenshot showing the leave balance before and after correction.</x:t>
  </x:si>
  <x:si>
    <x:t xml:space="preserve">#016</x:t>
  </x:si>
  <x:si>
    <x:t xml:space="preserve">An employee could log in and enter another employee’s ID to view that person’s salary.</x:t>
  </x:si>
  <x:si>
    <x:t xml:space="preserve">“Chỗ xem lương thường thì của ai chỉ người đó mới được xem, tại sao khi tôi đã đăng nhập của người này mà vẫn xem được của người khác?”</x:t>
  </x:si>
  <x:si>
    <x:t xml:space="preserve">The AI identified a missing ownership check. The Employee menu reused viewEmployeeDetail(), which allowed free input of any empId.</x:t>
  </x:si>
  <x:si>
    <x:t xml:space="preserve">Critical Thinking: Role-based menu visibility alone did not guarantee data-level authorization.
Contextualization: HR and Payroll Staff could enter any employee ID, but an Employee should only access their own salary.
Creative Synthesis: I separated the Employee flow from the administrative flow.
Decision Ownership: I created viewOwnDetail(currentEmpId) and removed manual employee-ID input from the Employee menu.</x:t>
  </x:si>
  <x:si>
    <x:t xml:space="preserve">Payroll screen before and after the fix; viewEmployeeDetail() and viewOwnDetail() implementations.</x:t>
  </x:si>
  <x:si>
    <x:t xml:space="preserve">#017</x:t>
  </x:si>
  <x:si>
    <x:t xml:space="preserve">DECISION-MAKING</x:t>
  </x:si>
  <x:si>
    <x:t xml:space="preserve">The leave-request workflow had no rule requiring employees to submit requests before the leave date.</x:t>
  </x:si>
  <x:si>
    <x:t xml:space="preserve">“Tôi đang gặp vấn đề, thường thì tạo đơn nghỉ phép phải tạo trước khi nghỉ vài ngày, hiện tại tôi muốn khi tạo đơn thì ngày tháng năm phải trước thời gian nghỉ ít nhất 2 ngày.”</x:t>
  </x:si>
  <x:si>
    <x:t xml:space="preserve">The AI suggested calculating the number of days between the current date and startDate, then rejecting requests submitted fewer than two days in advance.</x:t>
  </x:si>
  <x:si>
    <x:t xml:space="preserve">Critical Thinking: This was a business rule and therefore should not exist only in the console View.
Contextualization: Future interfaces should be subject to the same validation.
Creative Synthesis: I placed the rule in LeaveController.submitLeave().
Decision Ownership: A request became valid only when startDate was at least two days after the current date.</x:t>
  </x:si>
  <x:si>
    <x:t xml:space="preserve">Tests for one-day and two-day lead times; validation code in LeaveController.</x:t>
  </x:si>
  <x:si>
    <x:t xml:space="preserve">#018</x:t>
  </x:si>
  <x:si>
    <x:t xml:space="preserve">I needed to determine whether approved leave days were automatically excluded from salary deductions.</x:t>
  </x:si>
  <x:si>
    <x:t xml:space="preserve">“Cho tôi hỏi tính lương, khi sử dụng ngày nghỉ thì có trừ lương hay không?”</x:t>
  </x:si>
  <x:si>
    <x:t xml:space="preserve">The AI found that Leave and Attendance were separate modules. Payroll used AttendanceRecord.absenceDays, while approving leave only updated the request and remaining leave balance.</x:t>
  </x:si>
  <x:si>
    <x:t xml:space="preserve">Critical Thinking: An approved leave request did not guarantee that the employee would avoid an absence deduction.
Contextualization: If approved leave was manually included in absenceDays, payroll would still deduct salary.
Creative Synthesis: I mapped the complete data flow from leave approval to attendance and payroll.
Decision Ownership: I classified the missing integration as a business-logic defect rather than merely an input issue.</x:t>
  </x:si>
  <x:si>
    <x:t xml:space="preserve">LeaveController.approve(), attendance lookup, and SalaryCalculator deduction formula.</x:t>
  </x:si>
  <x:si>
    <x:t xml:space="preserve">HALLUCINATION DETECTION LOG (BẮT BUỘC)</x:t>
  </x:si>
  <x:si>
    <x:t xml:space="preserve">MỖI PROJECT PHẢI PHÁT HIỆN ÍT NHẤT: Lab (≥1), Assignment (≥2), Project (≥3) cases hallucination</x:t>
  </x:si>
  <x:si>
    <x:t xml:space="preserve">Entry # (from Sheet 2)</x:t>
  </x:si>
  <x:si>
    <x:t xml:space="preserve">Hallucination Type</x:t>
  </x:si>
  <x:si>
    <x:t xml:space="preserve">AI's Claim</x:t>
  </x:si>
  <x:si>
    <x:t xml:space="preserve">Reality Check</x:t>
  </x:si>
  <x:si>
    <x:t xml:space="preserve">How Detected</x:t>
  </x:si>
  <x:si>
    <x:t xml:space="preserve">Corrective Action</x:t>
  </x:si>
  <x:si>
    <x:t xml:space="preserve">Fabrication</x:t>
  </x:si>
  <x:si>
    <x:t xml:space="preserve">Paper 'Smith et al. 2023' exists</x:t>
  </x:si>
  <x:si>
    <x:t xml:space="preserve">Paper NOT FOUND on Google Scholar</x:t>
  </x:si>
  <x:si>
    <x:t xml:space="preserve">Searched Google Scholar, ResearchGate</x:t>
  </x:si>
  <x:si>
    <x:t xml:space="preserve">Used real paper 'Jones et al. 2022'</x:t>
  </x:si>
  <x:si>
    <x:t xml:space="preserve">[Add more...]</x:t>
  </x:si>
  <x:si>
    <x:t xml:space="preserve">Oversimplification</x:t>
  </x:si>
  <x:si>
    <x:t xml:space="preserve">Attendance Management only requires attendance viewing functions.</x:t>
  </x:si>
  <x:si>
    <x:t xml:space="preserve">After comparing the design with lecturer feedback,
I found that the attendance workflow was incomplete.
The system could only view attendance information
but could not record attendance activities.</x:t>
  </x:si>
  <x:si>
    <x:t xml:space="preserve">Compared the Attendance Management Area with lecturer feedback and real attendance system requirements.</x:t>
  </x:si>
  <x:si>
    <x:t xml:space="preserve">Added:
- Check In
- Check Out
- Record Attendance</x:t>
  </x:si>
  <x:si>
    <x:t xml:space="preserve">Outdated Information</x:t>
  </x:si>
  <x:si>
    <x:t xml:space="preserve">The AI initially stated that PayrollController had only a four-parameter constructor and that the call in Main.java was incorrect.</x:t>
  </x:si>
  <x:si>
    <x:t xml:space="preserve">The latest version of PayrollController had a five-parameter constructor that included LeaveRequestRepository.</x:t>
  </x:si>
  <x:si>
    <x:t xml:space="preserve">Opened the latest PayrollController.java file and compared its constructor signature with the initialization code in Main.java.</x:t>
  </x:si>
  <x:si>
    <x:t xml:space="preserve">Kept the existing PayrollController initialization and modified only EmployeeController to use Dependency Injection.</x:t>
  </x:si>
  <x:si>
    <x:t xml:space="preserve">The AI stated that approved leave would still receive full salary and would not be deducted.</x:t>
  </x:si>
  <x:si>
    <x:t xml:space="preserve">Salary treatment was conditional. If the approved leave days were included in AttendanceRecord.absenceDays, the salary would still be deducted because Leave and Attendance were not connected.</x:t>
  </x:si>
  <x:si>
    <x:t xml:space="preserve">LeaveController.approve(), AttendanceRecord.absenceDays, and the salary-deduction formula.</x:t>
  </x:si>
  <x:si>
    <x:t xml:space="preserve">Documented the integration defect and added synchronization between approved leave and attendance data.</x:t>
  </x:si>
  <x:si>
    <x:t xml:space="preserve">HALLUCINATION TYPES REFERENCE:</x:t>
  </x:si>
  <x:si>
    <x:t xml:space="preserve">Type</x:t>
  </x:si>
  <x:si>
    <x:t xml:space="preserve">Definition</x:t>
  </x:si>
  <x:si>
    <x:t xml:space="preserve">Example</x:t>
  </x:si>
  <x:si>
    <x:t xml:space="preserve">AI tạo ra thông tin không tồn tại</x:t>
  </x:si>
  <x:si>
    <x:t xml:space="preserve">Fake papers, fake APIs, fake data</x:t>
  </x:si>
  <x:si>
    <x:t xml:space="preserve">AI bỏ qua edge cases, exceptions</x:t>
  </x:si>
  <x:si>
    <x:t xml:space="preserve">Code không handle array rỗng</x:t>
  </x:si>
  <x:si>
    <x:t xml:space="preserve">Logic Error</x:t>
  </x:si>
  <x:si>
    <x:t xml:space="preserve">AI đưa kết luận sai về 'best practice'</x:t>
  </x:si>
  <x:si>
    <x:t xml:space="preserve">'XGBoost always best' → Sai</x:t>
  </x:si>
  <x:si>
    <x:t xml:space="preserve">Outdated Info</x:t>
  </x:si>
  <x:si>
    <x:t xml:space="preserve">AI dùng thông tin cũ, không còn đúng</x:t>
  </x:si>
  <x:si>
    <x:t xml:space="preserve">Old API syntax, deprecated methods</x:t>
  </x:si>
  <x:si>
    <x:t xml:space="preserve">Context Misunderstanding</x:t>
  </x:si>
  <x:si>
    <x:t xml:space="preserve">AI không hiểu đúng bối cảnh</x:t>
  </x:si>
  <x:si>
    <x:t xml:space="preserve">Không biết business constraints</x:t>
  </x:si>
  <x:si>
    <x:t xml:space="preserve">SELF-ASSESSMENT CHECKLIST (Trước khi nộp)</x:t>
  </x:si>
  <x:si>
    <x:t xml:space="preserve">Kiểm tra kỹ trước khi nộp. MỖI ENTRY phải pass ≥4/5 tiêu chí dưới đây.</x:t>
  </x:si>
  <x:si>
    <x:t xml:space="preserve">A. KIỂM TRA CHẤT LƯỢNG MỖI ENTRY (Pass ≥4/5)</x:t>
  </x:si>
  <x:si>
    <x:t xml:space="preserve">#</x:t>
  </x:si>
  <x:si>
    <x:t xml:space="preserve">Tiêu chí</x:t>
  </x:si>
  <x:si>
    <x:t xml:space="preserve">Pass?</x:t>
  </x:si>
  <x:si>
    <x:t xml:space="preserve">Note</x:t>
  </x:si>
  <x:si>
    <x:t xml:space="preserve">1</x:t>
  </x:si>
  <x:si>
    <x:t xml:space="preserve">Prompt này ảnh hưởng đến quyết định quan trọng trong project?</x:t>
  </x:si>
  <x:si>
    <x:t xml:space="preserve">2</x:t>
  </x:si>
  <x:si>
    <x:t xml:space="preserve">Nếu không có prompt này, project có thay đổi về architecture/design?</x:t>
  </x:si>
  <x:si>
    <x:t xml:space="preserve">3</x:t>
  </x:si>
  <x:si>
    <x:t xml:space="preserve">Tôi có thể giải thích lý do chọn/không chọn gợi ý của AI?</x:t>
  </x:si>
  <x:si>
    <x:t xml:space="preserve">4</x:t>
  </x:si>
  <x:si>
    <x:t xml:space="preserve">Có minh chứng cụ thể (code, metrics, comparison)?</x:t>
  </x:si>
  <x:si>
    <x:t xml:space="preserve">5</x:t>
  </x:si>
  <x:si>
    <x:t xml:space="preserve">Prompt này phản ánh tư duy phản biện, không chỉ copy AI?</x:t>
  </x:si>
  <x:si>
    <x:t xml:space="preserve">B. KIỂM TRA TỔNG THỂ LOG</x:t>
  </x:si>
  <x:si>
    <x:t xml:space="preserve">Current Value</x:t>
  </x:si>
  <x:si>
    <x:t xml:space="preserve">Số lượng entries nằm trong range (min-max)?</x:t>
  </x:si>
  <x:si>
    <x:t xml:space="preserve">Mỗi DTC component có ít nhất 1 core prompt?</x:t>
  </x:si>
  <x:si>
    <x:t xml:space="preserve">Đã phát hiện ≥ số lượng hallucination yêu cầu?</x:t>
  </x:si>
  <x:si>
    <x:t xml:space="preserve">Mỗi entry đều có Human Delta đầy đủ (4 câu hỏi)?</x:t>
  </x:si>
  <x:si>
    <x:t xml:space="preserve">Có evidence cho ≥70% entries?</x:t>
  </x:si>
  <x:si>
    <x:t xml:space="preserve">⚠️ LƯU Ý QUAN TRỌNG:</x:t>
  </x:si>
  <x:si>
    <x:t xml:space="preserve">Nếu entry KHÔNG pass ≥4/5 tiêu chí → LOẠI BỎ, không ghi vào Log</x:t>
  </x:si>
  <x:si>
    <x:t xml:space="preserve">Nếu FAIL ≥2 tiêu chí tổng thể → AI Reflection = 0 điểm (mất 30%)</x:t>
  </x:si>
  <x:si>
    <x:t xml:space="preserve">C. CHUẨN BỊ CHO ORAL VIVAS (Q&amp;A)</x:t>
  </x:si>
  <x:si>
    <x:t xml:space="preserve">Giảng viên sẽ hỏi ngẫu nhiên về 3-5 entries. Tự hỏi bản thân:</x:t>
  </x:si>
  <x:si>
    <x:t xml:space="preserve">Tôi có thể giải thích tại sao chọn approach này?</x:t>
  </x:si>
  <x:si>
    <x:t xml:space="preserve">Tôi có nhớ AI response?</x:t>
  </x:si>
  <x:si>
    <x:t xml:space="preserve">Tôi có evidence?</x:t>
  </x:si>
</x:sst>
</file>

<file path=xl/styles.xml><?xml version="1.0" encoding="utf-8"?>
<x:styleSheet xmlns:x="http://schemas.openxmlformats.org/spreadsheetml/2006/main">
  <x:numFmts count="5">
    <x:numFmt numFmtId="42" formatCode="_(&quot;$&quot;* #,##0_);_(&quot;$&quot;* \(#,##0\);_(&quot;$&quot;* &quot;-&quot;_);_(@_)"/>
    <x:numFmt numFmtId="44" formatCode="_(&quot;$&quot;* #,##0.00_);_(&quot;$&quot;* \(#,##0.00\);_(&quot;$&quot;* &quot;-&quot;??_);_(@_)"/>
    <x:numFmt numFmtId="176" formatCode="_ * #,##0.00_ ;_ * \-#,##0.00_ ;_ * &quot;-&quot;??_ ;_ @_ "/>
    <x:numFmt numFmtId="177" formatCode="_ * #,##0_ ;_ * \-#,##0_ ;_ * &quot;-&quot;_ ;_ @_ "/>
    <x:numFmt numFmtId="178" formatCode="0.0%"/>
  </x:numFmts>
  <x:fonts count="32">
    <x:font>
      <x:sz val="11"/>
      <x:color theme="1"/>
      <x:name val="Calibri"/>
    </x:font>
    <x:font>
      <x:b/>
      <x:sz val="16"/>
      <x:color rgb="FF2E75B6"/>
      <x:name val="Arial"/>
    </x:font>
    <x:font>
      <x:i/>
      <x:sz val="10"/>
      <x:color rgb="FF666666"/>
      <x:name val="Arial"/>
    </x:font>
    <x:font>
      <x:b/>
      <x:sz val="14"/>
      <x:color rgb="FF2E75B6"/>
      <x:name val="Arial"/>
    </x:font>
    <x:font>
      <x:b/>
      <x:sz val="11"/>
      <x:color rgb="FFFFFFFF"/>
      <x:name val="Arial"/>
    </x:font>
    <x:font>
      <x:sz val="10"/>
      <x:name val="Arial"/>
    </x:font>
    <x:font>
      <x:b/>
      <x:sz val="12"/>
      <x:color rgb="FFFF0000"/>
      <x:name val="Arial"/>
    </x:font>
    <x:font>
      <x:sz val="11"/>
      <x:color rgb="FFFF0000"/>
      <x:name val="Arial"/>
    </x:font>
    <x:font>
      <x:i/>
      <x:sz val="10"/>
      <x:name val="Arial"/>
    </x:font>
    <x:font>
      <x:b/>
      <x:sz val="11"/>
      <x:name val="Arial"/>
    </x:font>
    <x:font>
      <x:b/>
      <x:sz val="16"/>
      <x:color rgb="FFFF0000"/>
      <x:name val="Arial"/>
    </x:font>
    <x:font>
      <x:b/>
      <x:i/>
      <x:sz val="10"/>
      <x:color rgb="FFFF0000"/>
      <x:name val="Arial"/>
    </x:font>
    <x:font>
      <x:i/>
      <x:sz val="9"/>
      <x:color rgb="FF666666"/>
      <x:name val="Arial"/>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36">
    <x:fill>
      <x:patternFill patternType="none"/>
    </x:fill>
    <x:fill>
      <x:patternFill patternType="gray125"/>
    </x:fill>
    <x:fill>
      <x:patternFill patternType="solid">
        <x:fgColor rgb="FF2E75B6"/>
      </x:patternFill>
    </x:fill>
    <x:fill>
      <x:patternFill patternType="solid">
        <x:fgColor rgb="FFF2F2F2"/>
      </x:patternFill>
    </x:fill>
    <x:fill>
      <x:patternFill patternType="solid">
        <x:fgColor rgb="FFFFFF00"/>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2">
    <x:border/>
    <x:border>
      <x:left style="thin">
        <x:color rgb="FFCCCCCC"/>
      </x:left>
      <x:right style="thin">
        <x:color rgb="FFCCCCCC"/>
      </x:right>
      <x:top style="thin">
        <x:color rgb="FFCCCCCC"/>
      </x:top>
      <x:bottom style="thin">
        <x:color rgb="FFCCCCCC"/>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border>
      <x:left style="thin">
        <x:color rgb="FFCCCCCC"/>
      </x:left>
      <x:right style="thin">
        <x:color rgb="FFCCCCCC"/>
      </x:right>
      <x:top style="thin">
        <x:color rgb="FFCCCCCC"/>
      </x:top>
      <x:bottom style="thin">
        <x:color rgb="FFCCCCCC"/>
      </x:bottom>
    </x:border>
  </x:borders>
  <x:cellStyleXfs count="49">
    <x:xf numFmtId="0" fontId="0" fillId="0" borderId="0"/>
    <x:xf numFmtId="176" fontId="0" fillId="0" borderId="0" applyFont="0" applyFill="0" applyBorder="0" applyAlignment="0" applyProtection="0">
      <x:alignment vertical="center"/>
    </x:xf>
    <x:xf numFmtId="44" fontId="0" fillId="0" borderId="0" applyFont="0" applyFill="0" applyBorder="0" applyAlignment="0" applyProtection="0">
      <x:alignment vertical="center"/>
    </x:xf>
    <x:xf numFmtId="9" fontId="0" fillId="0" borderId="0" applyFont="0" applyFill="0" applyBorder="0" applyAlignment="0" applyProtection="0">
      <x:alignment vertical="center"/>
    </x:xf>
    <x:xf numFmtId="177" fontId="0" fillId="0" borderId="0" applyFont="0" applyFill="0" applyBorder="0" applyAlignment="0" applyProtection="0">
      <x:alignment vertical="center"/>
    </x:xf>
    <x:xf numFmtId="42" fontId="0" fillId="0" borderId="0" applyFont="0" applyFill="0" applyBorder="0" applyAlignment="0" applyProtection="0">
      <x:alignment vertical="center"/>
    </x:xf>
    <x:xf numFmtId="0" fontId="13" fillId="0" borderId="0" applyNumberFormat="0" applyFill="0" applyBorder="0" applyAlignment="0" applyProtection="0">
      <x:alignment vertical="center"/>
    </x:xf>
    <x:xf numFmtId="0" fontId="14" fillId="0" borderId="0" applyNumberFormat="0" applyFill="0" applyBorder="0" applyAlignment="0" applyProtection="0">
      <x:alignment vertical="center"/>
    </x:xf>
    <x:xf numFmtId="0" fontId="0" fillId="5" borderId="2" applyNumberFormat="0" applyFont="0" applyAlignment="0" applyProtection="0">
      <x:alignment vertical="center"/>
    </x:xf>
    <x:xf numFmtId="0" fontId="15" fillId="0" borderId="0" applyNumberFormat="0" applyFill="0" applyBorder="0" applyAlignment="0" applyProtection="0">
      <x:alignment vertical="center"/>
    </x:xf>
    <x:xf numFmtId="0" fontId="16" fillId="0" borderId="0" applyNumberFormat="0" applyFill="0" applyBorder="0" applyAlignment="0" applyProtection="0">
      <x:alignment vertical="center"/>
    </x:xf>
    <x:xf numFmtId="0" fontId="17" fillId="0" borderId="0" applyNumberFormat="0" applyFill="0" applyBorder="0" applyAlignment="0" applyProtection="0">
      <x:alignment vertical="center"/>
    </x:xf>
    <x:xf numFmtId="0" fontId="18" fillId="0" borderId="3" applyNumberFormat="0" applyFill="0" applyAlignment="0" applyProtection="0">
      <x:alignment vertical="center"/>
    </x:xf>
    <x:xf numFmtId="0" fontId="19" fillId="0" borderId="3" applyNumberFormat="0" applyFill="0" applyAlignment="0" applyProtection="0">
      <x:alignment vertical="center"/>
    </x:xf>
    <x:xf numFmtId="0" fontId="20" fillId="0" borderId="4" applyNumberFormat="0" applyFill="0" applyAlignment="0" applyProtection="0">
      <x:alignment vertical="center"/>
    </x:xf>
    <x:xf numFmtId="0" fontId="20" fillId="0" borderId="0" applyNumberFormat="0" applyFill="0" applyBorder="0" applyAlignment="0" applyProtection="0">
      <x:alignment vertical="center"/>
    </x:xf>
    <x:xf numFmtId="0" fontId="21" fillId="6" borderId="5" applyNumberFormat="0" applyAlignment="0" applyProtection="0">
      <x:alignment vertical="center"/>
    </x:xf>
    <x:xf numFmtId="0" fontId="22" fillId="7" borderId="6" applyNumberFormat="0" applyAlignment="0" applyProtection="0">
      <x:alignment vertical="center"/>
    </x:xf>
    <x:xf numFmtId="0" fontId="23" fillId="7" borderId="5" applyNumberFormat="0" applyAlignment="0" applyProtection="0">
      <x:alignment vertical="center"/>
    </x:xf>
    <x:xf numFmtId="0" fontId="24" fillId="8" borderId="7" applyNumberFormat="0" applyAlignment="0" applyProtection="0">
      <x:alignment vertical="center"/>
    </x:xf>
    <x:xf numFmtId="0" fontId="25" fillId="0" borderId="8" applyNumberFormat="0" applyFill="0" applyAlignment="0" applyProtection="0">
      <x:alignment vertical="center"/>
    </x:xf>
    <x:xf numFmtId="0" fontId="26" fillId="0" borderId="9" applyNumberFormat="0" applyFill="0" applyAlignment="0" applyProtection="0">
      <x:alignment vertical="center"/>
    </x:xf>
    <x:xf numFmtId="0" fontId="27" fillId="9" borderId="0" applyNumberFormat="0" applyBorder="0" applyAlignment="0" applyProtection="0">
      <x:alignment vertical="center"/>
    </x:xf>
    <x:xf numFmtId="0" fontId="28" fillId="10" borderId="0" applyNumberFormat="0" applyBorder="0" applyAlignment="0" applyProtection="0">
      <x:alignment vertical="center"/>
    </x:xf>
    <x:xf numFmtId="0" fontId="29" fillId="11" borderId="0" applyNumberFormat="0" applyBorder="0" applyAlignment="0" applyProtection="0">
      <x:alignment vertical="center"/>
    </x:xf>
    <x:xf numFmtId="0" fontId="30" fillId="12" borderId="0" applyNumberFormat="0" applyBorder="0" applyAlignment="0" applyProtection="0">
      <x:alignment vertical="center"/>
    </x:xf>
    <x:xf numFmtId="0" fontId="31" fillId="13" borderId="0" applyNumberFormat="0" applyBorder="0" applyAlignment="0" applyProtection="0">
      <x:alignment vertical="center"/>
    </x:xf>
    <x:xf numFmtId="0" fontId="31" fillId="14" borderId="0" applyNumberFormat="0" applyBorder="0" applyAlignment="0" applyProtection="0">
      <x:alignment vertical="center"/>
    </x:xf>
    <x:xf numFmtId="0" fontId="30" fillId="15" borderId="0" applyNumberFormat="0" applyBorder="0" applyAlignment="0" applyProtection="0">
      <x:alignment vertical="center"/>
    </x:xf>
    <x:xf numFmtId="0" fontId="30" fillId="16" borderId="0" applyNumberFormat="0" applyBorder="0" applyAlignment="0" applyProtection="0">
      <x:alignment vertical="center"/>
    </x:xf>
    <x:xf numFmtId="0" fontId="31" fillId="17" borderId="0" applyNumberFormat="0" applyBorder="0" applyAlignment="0" applyProtection="0">
      <x:alignment vertical="center"/>
    </x:xf>
    <x:xf numFmtId="0" fontId="31" fillId="18" borderId="0" applyNumberFormat="0" applyBorder="0" applyAlignment="0" applyProtection="0">
      <x:alignment vertical="center"/>
    </x:xf>
    <x:xf numFmtId="0" fontId="30" fillId="19" borderId="0" applyNumberFormat="0" applyBorder="0" applyAlignment="0" applyProtection="0">
      <x:alignment vertical="center"/>
    </x:xf>
    <x:xf numFmtId="0" fontId="30" fillId="20" borderId="0" applyNumberFormat="0" applyBorder="0" applyAlignment="0" applyProtection="0">
      <x:alignment vertical="center"/>
    </x:xf>
    <x:xf numFmtId="0" fontId="31" fillId="21" borderId="0" applyNumberFormat="0" applyBorder="0" applyAlignment="0" applyProtection="0">
      <x:alignment vertical="center"/>
    </x:xf>
    <x:xf numFmtId="0" fontId="31" fillId="22" borderId="0" applyNumberFormat="0" applyBorder="0" applyAlignment="0" applyProtection="0">
      <x:alignment vertical="center"/>
    </x:xf>
    <x:xf numFmtId="0" fontId="30" fillId="23" borderId="0" applyNumberFormat="0" applyBorder="0" applyAlignment="0" applyProtection="0">
      <x:alignment vertical="center"/>
    </x:xf>
    <x:xf numFmtId="0" fontId="30" fillId="24" borderId="0" applyNumberFormat="0" applyBorder="0" applyAlignment="0" applyProtection="0">
      <x:alignment vertical="center"/>
    </x:xf>
    <x:xf numFmtId="0" fontId="31" fillId="25" borderId="0" applyNumberFormat="0" applyBorder="0" applyAlignment="0" applyProtection="0">
      <x:alignment vertical="center"/>
    </x:xf>
    <x:xf numFmtId="0" fontId="31" fillId="26" borderId="0" applyNumberFormat="0" applyBorder="0" applyAlignment="0" applyProtection="0">
      <x:alignment vertical="center"/>
    </x:xf>
    <x:xf numFmtId="0" fontId="30" fillId="27" borderId="0" applyNumberFormat="0" applyBorder="0" applyAlignment="0" applyProtection="0">
      <x:alignment vertical="center"/>
    </x:xf>
    <x:xf numFmtId="0" fontId="30" fillId="28" borderId="0" applyNumberFormat="0" applyBorder="0" applyAlignment="0" applyProtection="0">
      <x:alignment vertical="center"/>
    </x:xf>
    <x:xf numFmtId="0" fontId="31" fillId="29" borderId="0" applyNumberFormat="0" applyBorder="0" applyAlignment="0" applyProtection="0">
      <x:alignment vertical="center"/>
    </x:xf>
    <x:xf numFmtId="0" fontId="31" fillId="30" borderId="0" applyNumberFormat="0" applyBorder="0" applyAlignment="0" applyProtection="0">
      <x:alignment vertical="center"/>
    </x:xf>
    <x:xf numFmtId="0" fontId="30" fillId="31" borderId="0" applyNumberFormat="0" applyBorder="0" applyAlignment="0" applyProtection="0">
      <x:alignment vertical="center"/>
    </x:xf>
    <x:xf numFmtId="0" fontId="30" fillId="32" borderId="0" applyNumberFormat="0" applyBorder="0" applyAlignment="0" applyProtection="0">
      <x:alignment vertical="center"/>
    </x:xf>
    <x:xf numFmtId="0" fontId="31" fillId="33" borderId="0" applyNumberFormat="0" applyBorder="0" applyAlignment="0" applyProtection="0">
      <x:alignment vertical="center"/>
    </x:xf>
    <x:xf numFmtId="0" fontId="31" fillId="34" borderId="0" applyNumberFormat="0" applyBorder="0" applyAlignment="0" applyProtection="0">
      <x:alignment vertical="center"/>
    </x:xf>
    <x:xf numFmtId="0" fontId="30" fillId="35" borderId="0" applyNumberFormat="0" applyBorder="0" applyAlignment="0" applyProtection="0">
      <x:alignment vertical="center"/>
    </x:xf>
  </x:cellStyleXfs>
  <x:cellXfs count="86">
    <x:xf numFmtId="0" fontId="0" fillId="0" borderId="0" xfId="0"/>
    <x:xf numFmtId="0" fontId="1" fillId="0" borderId="0" xfId="0" applyFont="1" applyAlignment="1">
      <x:alignment horizontal="center" vertical="center" wrapText="1"/>
    </x:xf>
    <x:xf numFmtId="0" fontId="2" fillId="0" borderId="0" xfId="0" applyFont="1" applyAlignment="1">
      <x:alignment horizontal="center" vertical="center" wrapText="1"/>
    </x:xf>
    <x:xf numFmtId="0" fontId="3" fillId="0" borderId="0" xfId="0" applyFont="1"/>
    <x:xf numFmtId="0" fontId="4" fillId="2" borderId="1" xfId="0" applyFont="1" applyFill="1" applyBorder="1" applyAlignment="1">
      <x:alignment horizontal="center" vertical="center" wrapText="1"/>
    </x:xf>
    <x:xf numFmtId="0" fontId="4" fillId="2" borderId="1" xfId="0" applyFont="1" applyFill="1" applyBorder="1" applyAlignment="1">
      <x:alignment horizontal="left" vertical="top" wrapText="1"/>
    </x:xf>
    <x:xf numFmtId="0" fontId="5" fillId="0" borderId="1" xfId="0" applyFont="1" applyBorder="1" applyAlignment="1">
      <x:alignment horizontal="center" vertical="center" wrapText="1"/>
    </x:xf>
    <x:xf numFmtId="0" fontId="5" fillId="0" borderId="1" xfId="0" applyFont="1" applyBorder="1" applyAlignment="1">
      <x:alignment horizontal="left" vertical="top" wrapText="1"/>
    </x:xf>
    <x:xf numFmtId="0" fontId="6" fillId="0" borderId="0" xfId="0" applyFont="1"/>
    <x:xf numFmtId="0" fontId="7" fillId="0" borderId="0" xfId="0" applyFont="1"/>
    <x:xf numFmtId="0" fontId="8" fillId="0" borderId="0" xfId="0" applyFont="1"/>
    <x:xf numFmtId="0" fontId="9" fillId="3" borderId="1" xfId="0" applyFont="1" applyFill="1" applyBorder="1" applyAlignment="1">
      <x:alignment horizontal="center" vertical="center" wrapText="1"/>
    </x:xf>
    <x:xf numFmtId="0" fontId="9" fillId="3" borderId="1" xfId="0" applyFont="1" applyFill="1" applyBorder="1" applyAlignment="1">
      <x:alignment horizontal="left" vertical="top" wrapText="1"/>
    </x:xf>
    <x:xf numFmtId="0" fontId="0" fillId="0" borderId="1" xfId="0" applyBorder="1" applyAlignment="1">
      <x:alignment horizontal="center" vertical="center" wrapText="1"/>
    </x:xf>
    <x:xf numFmtId="0" fontId="0" fillId="0" borderId="1" xfId="0" applyBorder="1" applyAlignment="1">
      <x:alignment horizontal="left" vertical="top" wrapText="1"/>
    </x:xf>
    <x:xf numFmtId="0" fontId="10" fillId="0" borderId="0" xfId="0" applyFont="1" applyAlignment="1">
      <x:alignment horizontal="center" vertical="center" wrapText="1"/>
    </x:xf>
    <x:xf numFmtId="0" fontId="11" fillId="0" borderId="0" xfId="0" applyFont="1" applyAlignment="1">
      <x:alignment horizontal="center" vertical="center" wrapText="1"/>
    </x:xf>
    <x:xf numFmtId="0" fontId="2" fillId="0" borderId="0" xfId="0" applyFont="1" applyAlignment="1">
      <x:alignment horizontal="left" vertical="top" wrapText="1"/>
    </x:xf>
    <x:xf numFmtId="0" fontId="0" fillId="0" borderId="0" xfId="0" applyAlignment="1">
      <x:alignment vertical="top"/>
    </x:xf>
    <x:xf numFmtId="0" fontId="0" fillId="0" borderId="0" xfId="0" applyAlignment="1">
      <x:alignment horizontal="left" vertical="top"/>
    </x:xf>
    <x:xf numFmtId="0" fontId="0" fillId="0" borderId="0" xfId="0" applyAlignment="1">
      <x:alignment vertical="top" wrapText="1"/>
    </x:xf>
    <x:xf numFmtId="0" fontId="0" fillId="0" borderId="0" xfId="0" applyAlignment="1">
      <x:alignment wrapText="1"/>
    </x:xf>
    <x:xf numFmtId="0" fontId="9" fillId="0" borderId="0" xfId="0" applyFont="1"/>
    <x:xf numFmtId="0" fontId="0" fillId="4" borderId="0" xfId="0" applyFill="1"/>
    <x:xf numFmtId="178" fontId="0" fillId="0" borderId="0" xfId="0" applyNumberFormat="1"/>
    <x:xf numFmtId="0" fontId="12" fillId="0" borderId="0" xfId="0" applyFont="1"/>
    <x:xf numFmtId="0" fontId="0" fillId="4" borderId="1" xfId="0" applyFill="1" applyBorder="1" applyAlignment="1">
      <x:alignment horizontal="center" vertical="center" wrapText="1"/>
    </x:xf>
    <x:xf numFmtId="0" fontId="0" fillId="4" borderId="0" xfId="0" applyFill="1"/>
    <x:xf numFmtId="0" fontId="0" fillId="0" borderId="10" xfId="0" applyNumberFormat="1" applyFont="1" applyFill="1" applyBorder="1"/>
    <x:xf numFmtId="0" fontId="1" fillId="0" borderId="10" xfId="0" applyNumberFormat="1" applyFont="1" applyFill="1" applyBorder="1" applyAlignment="1">
      <x:alignment horizontal="center" vertical="center" wrapText="1"/>
    </x:xf>
    <x:xf numFmtId="0" fontId="2" fillId="0" borderId="10" xfId="0" applyNumberFormat="1" applyFont="1" applyFill="1" applyBorder="1" applyAlignment="1">
      <x:alignment horizontal="center" vertical="center" wrapText="1"/>
    </x:xf>
    <x:xf numFmtId="0" fontId="3" fillId="0" borderId="10" xfId="0" applyNumberFormat="1" applyFont="1" applyFill="1" applyBorder="1"/>
    <x:xf numFmtId="0" fontId="4" fillId="2" borderId="11" xfId="0" applyNumberFormat="1" applyFont="1" applyFill="1" applyBorder="1" applyAlignment="1">
      <x:alignment horizontal="center" vertical="center" wrapText="1"/>
    </x:xf>
    <x:xf numFmtId="0" fontId="4" fillId="2" borderId="11" xfId="0" applyNumberFormat="1" applyFont="1" applyFill="1" applyBorder="1" applyAlignment="1">
      <x:alignment horizontal="left" vertical="top" wrapText="1"/>
    </x:xf>
    <x:xf numFmtId="0" fontId="5" fillId="0" borderId="11" xfId="0" applyNumberFormat="1" applyFont="1" applyFill="1" applyBorder="1" applyAlignment="1">
      <x:alignment horizontal="center" vertical="center" wrapText="1"/>
    </x:xf>
    <x:xf numFmtId="0" fontId="5" fillId="0" borderId="11" xfId="0" applyNumberFormat="1" applyFont="1" applyFill="1" applyBorder="1" applyAlignment="1">
      <x:alignment horizontal="left" vertical="top" wrapText="1"/>
    </x:xf>
    <x:xf numFmtId="0" fontId="6" fillId="0" borderId="10" xfId="0" applyNumberFormat="1" applyFont="1" applyFill="1" applyBorder="1"/>
    <x:xf numFmtId="0" fontId="7" fillId="0" borderId="10" xfId="0" applyNumberFormat="1" applyFont="1" applyFill="1" applyBorder="1"/>
    <x:xf numFmtId="0" fontId="8" fillId="0" borderId="10" xfId="0" applyNumberFormat="1" applyFont="1" applyFill="1" applyBorder="1"/>
    <x:xf numFmtId="0" fontId="9" fillId="3" borderId="11" xfId="0" applyNumberFormat="1" applyFont="1" applyFill="1" applyBorder="1" applyAlignment="1">
      <x:alignment horizontal="center" vertical="center" wrapText="1"/>
    </x:xf>
    <x:xf numFmtId="0" fontId="9" fillId="3" borderId="11" xfId="0" applyNumberFormat="1" applyFont="1" applyFill="1" applyBorder="1" applyAlignment="1">
      <x:alignment horizontal="left" vertical="top" wrapText="1"/>
    </x:xf>
    <x:xf numFmtId="0" fontId="0" fillId="0" borderId="11" xfId="0" applyNumberFormat="1" applyFont="1" applyFill="1" applyBorder="1" applyAlignment="1">
      <x:alignment horizontal="center" vertical="center" wrapText="1"/>
    </x:xf>
    <x:xf numFmtId="0" fontId="0" fillId="0" borderId="11" xfId="0" applyNumberFormat="1" applyFont="1" applyFill="1" applyBorder="1" applyAlignment="1">
      <x:alignment horizontal="left" vertical="top" wrapText="1"/>
    </x:xf>
    <x:xf numFmtId="0" fontId="10" fillId="0" borderId="10" xfId="0" applyNumberFormat="1" applyFont="1" applyFill="1" applyBorder="1" applyAlignment="1">
      <x:alignment horizontal="center" vertical="center" wrapText="1"/>
    </x:xf>
    <x:xf numFmtId="0" fontId="11" fillId="0" borderId="10" xfId="0" applyNumberFormat="1" applyFont="1" applyFill="1" applyBorder="1" applyAlignment="1">
      <x:alignment horizontal="center" vertical="center" wrapText="1"/>
    </x:xf>
    <x:xf numFmtId="0" fontId="2" fillId="0" borderId="10" xfId="0" applyNumberFormat="1" applyFont="1" applyFill="1" applyBorder="1" applyAlignment="1">
      <x:alignment horizontal="left" vertical="top" wrapText="1"/>
    </x:xf>
    <x:xf numFmtId="0" fontId="0" fillId="0" borderId="10" xfId="0" applyNumberFormat="1" applyFont="1" applyFill="1" applyBorder="1" applyAlignment="1">
      <x:alignment vertical="top"/>
    </x:xf>
    <x:xf numFmtId="0" fontId="0" fillId="0" borderId="10" xfId="0" applyNumberFormat="1" applyFont="1" applyFill="1" applyBorder="1" applyAlignment="1">
      <x:alignment horizontal="left" vertical="top"/>
    </x:xf>
    <x:xf numFmtId="0" fontId="0" fillId="0" borderId="10" xfId="0" applyNumberFormat="1" applyFont="1" applyFill="1" applyBorder="1" applyAlignment="1">
      <x:alignment vertical="top" wrapText="1"/>
    </x:xf>
    <x:xf numFmtId="0" fontId="0" fillId="0" borderId="10" xfId="0" applyNumberFormat="1" applyFont="1" applyFill="1" applyBorder="1" applyAlignment="1">
      <x:alignment wrapText="1"/>
    </x:xf>
    <x:xf numFmtId="0" fontId="9" fillId="0" borderId="10" xfId="0" applyNumberFormat="1" applyFont="1" applyFill="1" applyBorder="1"/>
    <x:xf numFmtId="0" fontId="0" fillId="4" borderId="10" xfId="0" applyNumberFormat="1" applyFont="1" applyFill="1" applyBorder="1"/>
    <x:xf numFmtId="178" fontId="0" fillId="0" borderId="10" xfId="0" applyNumberFormat="1" applyFont="1" applyFill="1" applyBorder="1"/>
    <x:xf numFmtId="0" fontId="12" fillId="0" borderId="10" xfId="0" applyNumberFormat="1" applyFont="1" applyFill="1" applyBorder="1"/>
    <x:xf numFmtId="0" fontId="0" fillId="4" borderId="11" xfId="0" applyNumberFormat="1" applyFont="1" applyFill="1" applyBorder="1" applyAlignment="1">
      <x:alignment horizontal="center" vertical="center" wrapText="1"/>
    </x:xf>
    <x:xf numFmtId="0" fontId="5" fillId="0"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center"/>
    </x:xf>
    <x:xf numFmtId="0" fontId="4" fillId="2" borderId="1" xfId="0" applyNumberFormat="1" applyFont="1" applyFill="1" applyBorder="1" applyAlignment="1">
      <x:alignment horizontal="center" vertical="center" wrapText="1"/>
    </x:xf>
    <x:xf numFmtId="0" fontId="0" fillId="0" borderId="10" xfId="0" applyNumberFormat="1" applyFont="1" applyFill="1" applyBorder="1" applyAlignment="1">
      <x:alignment horizontal="center"/>
    </x:xf>
    <x:xf numFmtId="0" fontId="0" fillId="0" borderId="0" xfId="0" applyNumberFormat="1" applyFont="1" applyFill="1" applyBorder="1" applyAlignment="1">
      <x:alignment horizontal="center" vertical="center"/>
    </x:xf>
    <x:xf numFmtId="0" fontId="0" fillId="0" borderId="10" xfId="0" applyNumberFormat="1" applyFont="1" applyFill="1" applyBorder="1" applyAlignment="1">
      <x:alignment horizontal="center" vertical="center"/>
    </x:xf>
    <x:xf numFmtId="0" fontId="5" fillId="0" borderId="1" xfId="0" applyNumberFormat="1" applyFont="1" applyFill="1" applyBorder="1" applyAlignment="1">
      <x:alignment horizontal="left" vertical="top" wrapText="1"/>
    </x:xf>
    <x:xf numFmtId="0" fontId="0" fillId="0" borderId="0" xfId="0" applyNumberFormat="1" applyFont="1" applyFill="1" applyBorder="1" applyAlignment="1">
      <x:alignment wrapText="1"/>
    </x:xf>
    <x:xf numFmtId="0" fontId="4" fillId="2" borderId="1" xfId="0" applyNumberFormat="1" applyFont="1" applyFill="1" applyBorder="1" applyAlignment="1">
      <x:alignment horizontal="left" vertical="top" wrapText="1"/>
    </x:xf>
    <x:xf numFmtId="0" fontId="0" fillId="0" borderId="1" xfId="0" applyNumberFormat="1" applyFont="1" applyFill="1" applyBorder="1" applyAlignment="1">
      <x:alignment horizontal="center" vertical="center" wrapText="1"/>
    </x:xf>
    <x:xf numFmtId="0" fontId="0" fillId="0" borderId="1" xfId="0" applyNumberFormat="1" applyFont="1" applyFill="1" applyBorder="1" applyAlignment="1">
      <x:alignment horizontal="left" vertical="top" wrapText="1"/>
    </x:xf>
    <x:xf numFmtId="0" fontId="0" fillId="0" borderId="0" xfId="0" applyNumberFormat="1" applyFont="1" applyFill="1" applyBorder="1"/>
    <x:xf numFmtId="0" fontId="1" fillId="0"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center" vertical="center" wrapText="1"/>
    </x:xf>
    <x:xf numFmtId="0" fontId="3" fillId="0" borderId="0" xfId="0" applyNumberFormat="1" applyFont="1" applyFill="1" applyBorder="1"/>
    <x:xf numFmtId="0" fontId="6" fillId="0" borderId="0" xfId="0" applyNumberFormat="1" applyFont="1" applyFill="1" applyBorder="1"/>
    <x:xf numFmtId="0" fontId="7" fillId="0" borderId="0" xfId="0" applyNumberFormat="1" applyFont="1" applyFill="1" applyBorder="1"/>
    <x:xf numFmtId="0" fontId="8" fillId="0" borderId="0" xfId="0" applyNumberFormat="1" applyFont="1" applyFill="1" applyBorder="1"/>
    <x:xf numFmtId="0" fontId="9" fillId="3" borderId="1" xfId="0" applyNumberFormat="1" applyFont="1" applyFill="1" applyBorder="1" applyAlignment="1">
      <x:alignment horizontal="center" vertical="center" wrapText="1"/>
    </x:xf>
    <x:xf numFmtId="0" fontId="9" fillId="3" borderId="1" xfId="0" applyNumberFormat="1" applyFont="1" applyFill="1" applyBorder="1" applyAlignment="1">
      <x:alignment horizontal="left" vertical="top" wrapText="1"/>
    </x:xf>
    <x:xf numFmtId="0" fontId="10" fillId="0" borderId="0" xfId="0" applyNumberFormat="1" applyFont="1" applyFill="1" applyBorder="1" applyAlignment="1">
      <x:alignment horizontal="center" vertical="center" wrapText="1"/>
    </x:xf>
    <x:xf numFmtId="0" fontId="11" fillId="0"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horizontal="left" vertical="top"/>
    </x:xf>
    <x:xf numFmtId="0" fontId="0" fillId="0" borderId="0" xfId="0" applyNumberFormat="1" applyFont="1" applyFill="1" applyBorder="1" applyAlignment="1">
      <x:alignment vertical="top" wrapText="1"/>
    </x:xf>
    <x:xf numFmtId="0" fontId="9" fillId="0" borderId="0" xfId="0" applyNumberFormat="1" applyFont="1" applyFill="1" applyBorder="1"/>
    <x:xf numFmtId="0" fontId="0" fillId="4" borderId="0" xfId="0" applyNumberFormat="1" applyFont="1" applyFill="1" applyBorder="1"/>
    <x:xf numFmtId="178" fontId="0" fillId="0" borderId="0" xfId="0" applyNumberFormat="1" applyFont="1" applyFill="1" applyBorder="1"/>
    <x:xf numFmtId="0" fontId="12" fillId="0" borderId="0" xfId="0" applyNumberFormat="1" applyFont="1" applyFill="1" applyBorder="1"/>
    <x:xf numFmtId="0" fontId="0" fillId="4" borderId="1" xfId="0" applyNumberFormat="1" applyFont="1" applyFill="1" applyBorder="1" applyAlignment="1">
      <x:alignment horizontal="center" vertical="center" wrapText="1"/>
    </x:xf>
  </x:cellXfs>
  <x:cellStyles count="49">
    <x:cellStyle name="Normal" xfId="0"/>
    <x:cellStyle name="Comma" xfId="1"/>
    <x:cellStyle name="Currency" xfId="2"/>
    <x:cellStyle name="Percent" xfId="3"/>
    <x:cellStyle name="Comma [0]" xfId="4"/>
    <x:cellStyle name="Currency [0]" xfId="5"/>
    <x:cellStyle name="Link" xfId="6"/>
    <x:cellStyle name="Followed Hyperlink" xfId="7"/>
    <x:cellStyle name="Note" xfId="8"/>
    <x:cellStyle name="Warning Text" xfId="9"/>
    <x:cellStyle name="Title" xfId="10"/>
    <x:cellStyle name="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1" xfId="25"/>
    <x:cellStyle name="20% - Accent1" xfId="26"/>
    <x:cellStyle name="40% - Accent1" xfId="27"/>
    <x:cellStyle name="60% - Accent1" xfId="28"/>
    <x:cellStyle name="Accent2" xfId="29"/>
    <x:cellStyle name="20% - Accent2" xfId="30"/>
    <x:cellStyle name="40% - Accent2" xfId="31"/>
    <x:cellStyle name="60% - Accent2" xfId="32"/>
    <x:cellStyle name="Accent3" xfId="33"/>
    <x:cellStyle name="20% - Accent3" xfId="34"/>
    <x:cellStyle name="40% - Accent3" xfId="35"/>
    <x:cellStyle name="60% - Accent3" xfId="36"/>
    <x:cellStyle name="Accent4" xfId="37"/>
    <x:cellStyle name="20% - Accent4" xfId="38"/>
    <x:cellStyle name="40% - Accent4" xfId="39"/>
    <x:cellStyle name="60% - Accent4" xfId="40"/>
    <x:cellStyle name="Accent5" xfId="41"/>
    <x:cellStyle name="20% - Accent5" xfId="42"/>
    <x:cellStyle name="40% - Accent5" xfId="43"/>
    <x:cellStyle name="60% - Accent5" xfId="44"/>
    <x:cellStyle name="Accent6" xfId="45"/>
    <x:cellStyle name="20% - Accent6" xfId="46"/>
    <x:cellStyle name="40% - Accent6" xfId="47"/>
    <x:cellStyle name="60% - Accent6" xfId="48"/>
  </x:cellStyles>
</x:styleSheet>
</file>

<file path=xl/_rels/workbook.xml.rels>&#65279;<?xml version="1.0" encoding="utf-8"?><Relationships xmlns="http://schemas.openxmlformats.org/package/2006/relationships"><Relationship Type="http://schemas.openxmlformats.org/officeDocument/2006/relationships/styles" Target="/xl/styles.xml" Id="R01b9e44ca3254e0b" /><Relationship Type="http://schemas.openxmlformats.org/officeDocument/2006/relationships/theme" Target="/xl/theme/theme1.xml" Id="Rb0c259713ccd4f5a" /><Relationship Type="http://schemas.openxmlformats.org/officeDocument/2006/relationships/sharedStrings" Target="/xl/sharedStrings.xml" Id="R11407951c1f441be" /><Relationship Type="http://schemas.openxmlformats.org/officeDocument/2006/relationships/worksheet" Target="/xl/worksheets/sheet1.xml" Id="R681938d972754739" /><Relationship Type="http://schemas.openxmlformats.org/officeDocument/2006/relationships/worksheet" Target="/xl/worksheets/sheet2.xml" Id="R7147556b025e48ca" /><Relationship Type="http://schemas.openxmlformats.org/officeDocument/2006/relationships/worksheet" Target="/xl/worksheets/sheet3.xml" Id="Ra98c76f3ecd64459" /><Relationship Type="http://schemas.openxmlformats.org/officeDocument/2006/relationships/worksheet" Target="/xl/worksheets/sheet4.xml" Id="R1be01f84c5344c5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ColWidth="9" defaultRowHeight="15"/>
  <x:cols>
    <x:col min="1" max="1" width="25" customWidth="1"/>
    <x:col min="2" max="2" width="40" customWidth="1"/>
    <x:col min="3" max="3" width="15" customWidth="1"/>
    <x:col min="4" max="4" width="38" hidden="0" customWidth="1"/>
    <x:col min="5" max="6" width="20" customWidth="1"/>
  </x:cols>
  <x:sheetData>
    <x:row r="1" ht="20.25">
      <x:c r="A1" s="1" t="s">
        <x:v>0</x:v>
      </x:c>
    </x:row>
    <x:row r="3" ht="18">
      <x:c r="A3" s="3" t="s">
        <x:v>1</x:v>
      </x:c>
    </x:row>
    <x:row r="4">
      <x:c r="A4" s="22" t="s">
        <x:v>2</x:v>
      </x:c>
      <x:c r="C4" t="s">
        <x:v>3</x:v>
      </x:c>
    </x:row>
    <x:row r="5">
      <x:c r="A5" s="22" t="s">
        <x:v>4</x:v>
      </x:c>
      <x:c r="C5" t="s">
        <x:v>5</x:v>
      </x:c>
    </x:row>
    <x:row r="6">
      <x:c r="A6" s="22" t="s">
        <x:v>6</x:v>
      </x:c>
      <x:c r="C6" t="s">
        <x:v>7</x:v>
      </x:c>
    </x:row>
    <x:row r="7">
      <x:c r="A7" s="22" t="s">
        <x:v>8</x:v>
      </x:c>
      <x:c r="C7" t="s">
        <x:v>9</x:v>
      </x:c>
    </x:row>
    <x:row r="9" ht="18">
      <x:c r="A9" s="3" t="s">
        <x:v>10</x:v>
      </x:c>
    </x:row>
    <x:row r="10">
      <x:c r="A10" s="22" t="s">
        <x:v>11</x:v>
      </x:c>
      <x:c r="C10" t="n">
        <x:v>130</x:v>
      </x:c>
      <x:c r="D10" s="62" t="str">
        <x:v>Approximate total prompts across Claude and ChatGPT conversations used for this project.</x:v>
      </x:c>
    </x:row>
    <x:row r="11">
      <x:c r="A11" s="22" t="s">
        <x:v>12</x:v>
      </x:c>
      <x:c r="C11" s="23" t="n">
        <x:f>COUNTA('2. Detailed Audit Log'!A7:A24)</x:f>
        <x:v>18</x:v>
      </x:c>
      <x:c r="D11" s="62"/>
    </x:row>
    <x:row r="12">
      <x:c r="A12" s="22" t="s">
        <x:v>13</x:v>
      </x:c>
      <x:c r="C12" s="83" t="n">
        <x:f>C11/C10</x:f>
        <x:v>0.13846153846153847</x:v>
      </x:c>
      <x:c r="D12" s="62"/>
      <x:c r="E12" s="25" t="s">
        <x:v>14</x:v>
      </x:c>
    </x:row>
    <x:row r="13">
      <x:c r="A13" s="22" t="s">
        <x:v>15</x:v>
      </x:c>
      <x:c r="C13" s="27" t="n">
        <x:f>COUNTA('3. Hallucination Detection'!A6:A8)</x:f>
        <x:v>3</x:v>
      </x:c>
      <x:c r="D13" s="62"/>
    </x:row>
    <x:row r="14">
      <x:c r="D14" s="62"/>
    </x:row>
    <x:row r="15" ht="18">
      <x:c r="A15" s="3" t="s">
        <x:v>16</x:v>
      </x:c>
      <x:c r="D15" s="62"/>
    </x:row>
    <x:row r="16">
      <x:c r="A16" s="4" t="s">
        <x:v>17</x:v>
      </x:c>
      <x:c r="B16" s="4" t="s">
        <x:v>18</x:v>
      </x:c>
      <x:c r="C16" s="4" t="s">
        <x:v>19</x:v>
      </x:c>
      <x:c r="D16" s="57" t="s">
        <x:v>20</x:v>
      </x:c>
    </x:row>
    <x:row r="17" ht="15" hidden="0" customHeight="1">
      <x:c r="A17" s="65" t="str">
        <x:v>Claude</x:v>
      </x:c>
      <x:c r="B17" s="65" t="str">
        <x:v>Java code review, debugging, requirement analysis</x:v>
      </x:c>
      <x:c r="C17" s="65" t="str">
        <x:v>High</x:v>
      </x:c>
      <x:c r="D17" s="65" t="str">
        <x:v>Detailed technical analysis and code suggestions</x:v>
      </x:c>
    </x:row>
    <x:row r="18" ht="26.399999618530273" hidden="0" customHeight="1">
      <x:c r="A18" s="65" t="str">
        <x:v>ChatGPT</x:v>
      </x:c>
      <x:c r="B18" s="65" t="str">
        <x:v>Audit-log structuring, English rewriting, spreadsheet checking</x:v>
      </x:c>
      <x:c r="C18" s="65" t="str">
        <x:v>Medium</x:v>
      </x:c>
      <x:c r="D18" s="65" t="str">
        <x:v>Organizing, validating, and completing the final AI Audit Log</x:v>
      </x:c>
    </x:row>
    <x:row r="19">
      <x:c r="A19" s="14"/>
      <x:c r="B19" s="14"/>
      <x:c r="C19" s="14"/>
      <x:c r="D19" s="14"/>
    </x:row>
    <x:row r="20">
      <x:c r="A20" s="14"/>
      <x:c r="B20" s="14"/>
      <x:c r="C20" s="14"/>
      <x:c r="D20" s="14"/>
    </x:row>
    <x:row r="22" ht="18">
      <x:c r="A22" s="3" t="s">
        <x:v>21</x:v>
      </x:c>
    </x:row>
    <x:row r="23" ht="30">
      <x:c r="A23" s="4" t="s">
        <x:v>22</x:v>
      </x:c>
      <x:c r="B23" s="4" t="s">
        <x:v>23</x:v>
      </x:c>
      <x:c r="C23" s="4" t="s">
        <x:v>24</x:v>
      </x:c>
    </x:row>
    <x:row r="24">
      <x:c r="A24" s="14" t="s">
        <x:v>25</x:v>
      </x:c>
      <x:c r="B24" s="26" t="n">
        <x:f>COUNTIF('2. Detailed Audit Log'!C7:C24,"Decomposition")</x:f>
        <x:v>3</x:v>
      </x:c>
      <x:c r="C24" s="13" t="s">
        <x:v>26</x:v>
      </x:c>
    </x:row>
    <x:row r="25">
      <x:c r="A25" s="14" t="s">
        <x:v>27</x:v>
      </x:c>
      <x:c r="B25" s="26" t="n">
        <x:f>COUNTIF('2. Detailed Audit Log'!C7:C24,"Pattern Recognition")</x:f>
        <x:v>3</x:v>
      </x:c>
      <x:c r="C25" s="13" t="s">
        <x:v>26</x:v>
      </x:c>
    </x:row>
    <x:row r="26">
      <x:c r="A26" s="14" t="s">
        <x:v>28</x:v>
      </x:c>
      <x:c r="B26" s="26" t="n">
        <x:f>COUNTIF('2. Detailed Audit Log'!C7:C24,"Abstraction")</x:f>
        <x:v>4</x:v>
      </x:c>
      <x:c r="C26" s="13" t="s">
        <x:v>26</x:v>
      </x:c>
    </x:row>
    <x:row r="27">
      <x:c r="A27" s="14" t="s">
        <x:v>29</x:v>
      </x:c>
      <x:c r="B27" s="26" t="n">
        <x:f>COUNTIF('2. Detailed Audit Log'!C7:C24,"Algorithms")</x:f>
        <x:v>7</x:v>
      </x:c>
      <x:c r="C27" s="13" t="s">
        <x:v>26</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ColWidth="9" defaultRowHeight="15"/>
  <x:cols>
    <x:col min="1" max="1" width="8" customWidth="1"/>
    <x:col min="2" max="3" width="18" customWidth="1"/>
    <x:col min="4" max="4" width="25" customWidth="1"/>
    <x:col min="5" max="5" width="30" customWidth="1"/>
    <x:col min="6" max="6" width="35" customWidth="1"/>
    <x:col min="7" max="7" width="50" customWidth="1"/>
    <x:col min="8" max="8" width="20" customWidth="1"/>
  </x:cols>
  <x:sheetData>
    <x:row r="1" ht="20.25">
      <x:c r="A1" s="1" t="s">
        <x:v>30</x:v>
      </x:c>
    </x:row>
    <x:row r="2" ht="30" customHeight="1">
      <x:c r="A2" s="17" t="s">
        <x:v>31</x:v>
      </x:c>
    </x:row>
    <x:row r="3" ht="40.04999923706055" customHeight="1">
      <x:c r="A3" s="4" t="s">
        <x:v>32</x:v>
      </x:c>
      <x:c r="B3" s="4" t="s">
        <x:v>33</x:v>
      </x:c>
      <x:c r="C3" s="4" t="s">
        <x:v>34</x:v>
      </x:c>
      <x:c r="D3" s="4" t="s">
        <x:v>35</x:v>
      </x:c>
      <x:c r="E3" s="4" t="s">
        <x:v>36</x:v>
      </x:c>
      <x:c r="F3" s="4" t="s">
        <x:v>37</x:v>
      </x:c>
      <x:c r="G3" s="4" t="s">
        <x:v>38</x:v>
      </x:c>
      <x:c r="H3" s="4" t="s">
        <x:v>39</x:v>
      </x:c>
    </x:row>
    <x:row r="4" ht="100.05000305175781" customHeight="1">
      <x:c r="A4" s="14">
        <x:v>1</x:v>
      </x:c>
      <x:c r="B4" s="14" t="s">
        <x:v>40</x:v>
      </x:c>
      <x:c r="C4" s="14" t="s">
        <x:v>25</x:v>
      </x:c>
      <x:c r="D4" s="14" t="s">
        <x:v>41</x:v>
      </x:c>
      <x:c r="E4" s="14" t="s">
        <x:v>42</x:v>
      </x:c>
      <x:c r="F4" s="14" t="s">
        <x:v>43</x:v>
      </x:c>
      <x:c r="G4" s="14" t="s">
        <x:v>44</x:v>
      </x:c>
      <x:c r="H4" s="14" t="s">
        <x:v>45</x:v>
      </x:c>
    </x:row>
    <x:row r="5" ht="100.05000305175781" customHeight="1">
      <x:c r="A5" s="14" t="s">
        <x:v>46</x:v>
      </x:c>
      <x:c r="B5" s="14" t="s">
        <x:v>47</x:v>
      </x:c>
      <x:c r="C5" s="14" t="s">
        <x:v>29</x:v>
      </x:c>
      <x:c r="D5" s="14" t="s">
        <x:v>48</x:v>
      </x:c>
      <x:c r="E5" s="14" t="s">
        <x:v>49</x:v>
      </x:c>
      <x:c r="F5" s="14" t="s">
        <x:v>50</x:v>
      </x:c>
      <x:c r="G5" s="14" t="s">
        <x:v>51</x:v>
      </x:c>
      <x:c r="H5" s="14" t="s">
        <x:v>52</x:v>
      </x:c>
    </x:row>
    <x:row r="6" ht="100.05000305175781" customHeight="1">
      <x:c r="A6" s="14" t="s">
        <x:v>53</x:v>
      </x:c>
      <x:c r="B6" s="14" t="s">
        <x:v>54</x:v>
      </x:c>
      <x:c r="C6" s="14" t="s">
        <x:v>55</x:v>
      </x:c>
      <x:c r="D6" s="14" t="s">
        <x:v>56</x:v>
      </x:c>
      <x:c r="E6" s="14" t="s">
        <x:v>57</x:v>
      </x:c>
      <x:c r="F6" s="14" t="s">
        <x:v>58</x:v>
      </x:c>
      <x:c r="G6" s="14" t="s">
        <x:v>59</x:v>
      </x:c>
      <x:c r="H6" s="14" t="s">
        <x:v>60</x:v>
      </x:c>
    </x:row>
    <x:row r="7" ht="79.94999694824219" customHeight="1">
      <x:c r="A7" s="14" t="s">
        <x:v>61</x:v>
      </x:c>
      <x:c r="B7" s="18" t="s">
        <x:v>40</x:v>
      </x:c>
      <x:c r="C7" s="18" t="s">
        <x:v>28</x:v>
      </x:c>
      <x:c r="D7" s="14" t="s">
        <x:v>62</x:v>
      </x:c>
      <x:c r="E7" s="14" t="s">
        <x:v>63</x:v>
      </x:c>
      <x:c r="F7" s="14" t="s">
        <x:v>64</x:v>
      </x:c>
      <x:c r="G7" s="14" t="s">
        <x:v>65</x:v>
      </x:c>
      <x:c r="H7" s="14" t="s">
        <x:v>66</x:v>
      </x:c>
    </x:row>
    <x:row r="8" ht="79.94999694824219" customHeight="1">
      <x:c r="A8" s="14" t="s">
        <x:v>67</x:v>
      </x:c>
      <x:c r="B8" s="18" t="s">
        <x:v>40</x:v>
      </x:c>
      <x:c r="C8" s="18" t="s">
        <x:v>28</x:v>
      </x:c>
      <x:c r="D8" s="14" t="s">
        <x:v>68</x:v>
      </x:c>
      <x:c r="E8" s="14" t="s">
        <x:v>69</x:v>
      </x:c>
      <x:c r="F8" s="14" t="s">
        <x:v>70</x:v>
      </x:c>
      <x:c r="G8" s="14" t="s">
        <x:v>71</x:v>
      </x:c>
      <x:c r="H8" s="14" t="s">
        <x:v>72</x:v>
      </x:c>
    </x:row>
    <x:row r="9" ht="79.94999694824219" customHeight="1">
      <x:c r="A9" s="14" t="s">
        <x:v>73</x:v>
      </x:c>
      <x:c r="B9" s="14" t="s">
        <x:v>47</x:v>
      </x:c>
      <x:c r="C9" s="14" t="s">
        <x:v>25</x:v>
      </x:c>
      <x:c r="D9" s="14" t="s">
        <x:v>74</x:v>
      </x:c>
      <x:c r="E9" s="14" t="s">
        <x:v>75</x:v>
      </x:c>
      <x:c r="F9" s="14" t="s">
        <x:v>76</x:v>
      </x:c>
      <x:c r="G9" s="14" t="s">
        <x:v>77</x:v>
      </x:c>
      <x:c r="H9" s="14" t="s">
        <x:v>78</x:v>
      </x:c>
    </x:row>
    <x:row r="10" ht="79.94999694824219" customHeight="1">
      <x:c r="A10" s="14" t="s">
        <x:v>79</x:v>
      </x:c>
      <x:c r="B10" s="14" t="s">
        <x:v>47</x:v>
      </x:c>
      <x:c r="C10" s="14" t="s">
        <x:v>80</x:v>
      </x:c>
      <x:c r="D10" s="14" t="s">
        <x:v>81</x:v>
      </x:c>
      <x:c r="E10" s="14" t="s">
        <x:v>82</x:v>
      </x:c>
      <x:c r="F10" s="14" t="s">
        <x:v>83</x:v>
      </x:c>
      <x:c r="G10" s="14" t="s">
        <x:v>84</x:v>
      </x:c>
      <x:c r="H10" s="14" t="s">
        <x:v>85</x:v>
      </x:c>
    </x:row>
    <x:row r="11" ht="79.94999694824219" customHeight="1">
      <x:c r="A11" s="14" t="s">
        <x:v>86</x:v>
      </x:c>
      <x:c r="B11" s="14" t="s">
        <x:v>54</x:v>
      </x:c>
      <x:c r="C11" s="14" t="s">
        <x:v>27</x:v>
      </x:c>
      <x:c r="D11" s="14" t="s">
        <x:v>87</x:v>
      </x:c>
      <x:c r="E11" s="14" t="s">
        <x:v>88</x:v>
      </x:c>
      <x:c r="F11" s="14" t="s">
        <x:v>89</x:v>
      </x:c>
      <x:c r="G11" s="14" t="s">
        <x:v>90</x:v>
      </x:c>
      <x:c r="H11" s="14" t="s">
        <x:v>91</x:v>
      </x:c>
    </x:row>
    <x:row r="12" ht="79.94999694824219" customHeight="1">
      <x:c r="A12" s="14" t="s">
        <x:v>92</x:v>
      </x:c>
      <x:c r="B12" s="14" t="s">
        <x:v>54</x:v>
      </x:c>
      <x:c r="C12" s="14" t="s">
        <x:v>27</x:v>
      </x:c>
      <x:c r="D12" s="14" t="s">
        <x:v>93</x:v>
      </x:c>
      <x:c r="E12" s="19" t="s">
        <x:v>94</x:v>
      </x:c>
      <x:c r="F12" s="14" t="s">
        <x:v>95</x:v>
      </x:c>
      <x:c r="G12" s="14" t="s">
        <x:v>96</x:v>
      </x:c>
      <x:c r="H12" s="14" t="s">
        <x:v>97</x:v>
      </x:c>
    </x:row>
    <x:row r="13" ht="79.94999694824219" customHeight="1">
      <x:c r="A13" s="14" t="s">
        <x:v>98</x:v>
      </x:c>
      <x:c r="B13" s="14" t="s">
        <x:v>99</x:v>
      </x:c>
      <x:c r="C13" s="14" t="s">
        <x:v>29</x:v>
      </x:c>
      <x:c r="D13" s="14" t="s">
        <x:v>100</x:v>
      </x:c>
      <x:c r="E13" s="14" t="s">
        <x:v>101</x:v>
      </x:c>
      <x:c r="F13" s="14" t="s">
        <x:v>102</x:v>
      </x:c>
      <x:c r="G13" s="14" t="s">
        <x:v>103</x:v>
      </x:c>
      <x:c r="H13" s="14" t="s">
        <x:v>104</x:v>
      </x:c>
    </x:row>
    <x:row r="14" ht="79.94999694824219" customHeight="1">
      <x:c r="A14" s="14" t="s">
        <x:v>105</x:v>
      </x:c>
      <x:c r="B14" s="14" t="s">
        <x:v>47</x:v>
      </x:c>
      <x:c r="C14" s="14" t="s">
        <x:v>29</x:v>
      </x:c>
      <x:c r="D14" s="20" t="s">
        <x:v>106</x:v>
      </x:c>
      <x:c r="E14" s="20" t="s">
        <x:v>107</x:v>
      </x:c>
      <x:c r="F14" s="20" t="s">
        <x:v>108</x:v>
      </x:c>
      <x:c r="G14" s="14" t="s">
        <x:v>109</x:v>
      </x:c>
      <x:c r="H14" s="20" t="s">
        <x:v>110</x:v>
      </x:c>
    </x:row>
    <x:row r="15" ht="79.94999694824219" customHeight="1">
      <x:c r="A15" s="14" t="s">
        <x:v>111</x:v>
      </x:c>
      <x:c r="B15" s="18" t="s">
        <x:v>40</x:v>
      </x:c>
      <x:c r="C15" s="18" t="s">
        <x:v>29</x:v>
      </x:c>
      <x:c r="D15" s="20" t="s">
        <x:v>112</x:v>
      </x:c>
      <x:c r="E15" s="20" t="s">
        <x:v>113</x:v>
      </x:c>
      <x:c r="F15" s="20" t="s">
        <x:v>114</x:v>
      </x:c>
      <x:c r="G15" s="14" t="s">
        <x:v>115</x:v>
      </x:c>
      <x:c r="H15" s="20" t="s">
        <x:v>116</x:v>
      </x:c>
    </x:row>
    <x:row r="16" ht="79.94999694824219" customHeight="1">
      <x:c r="A16" s="14" t="s">
        <x:v>117</x:v>
      </x:c>
      <x:c r="B16" s="18" t="s">
        <x:v>40</x:v>
      </x:c>
      <x:c r="C16" s="18" t="s">
        <x:v>29</x:v>
      </x:c>
      <x:c r="D16" s="14" t="s">
        <x:v>118</x:v>
      </x:c>
      <x:c r="E16" s="20" t="s">
        <x:v>119</x:v>
      </x:c>
      <x:c r="F16" s="20" t="s">
        <x:v>120</x:v>
      </x:c>
      <x:c r="G16" s="20" t="s">
        <x:v>121</x:v>
      </x:c>
      <x:c r="H16" s="14" t="s">
        <x:v>122</x:v>
      </x:c>
    </x:row>
    <x:row r="17" ht="79.94999694824219" customHeight="1">
      <x:c r="A17" s="14" t="s">
        <x:v>123</x:v>
      </x:c>
      <x:c r="B17" s="18" t="s">
        <x:v>54</x:v>
      </x:c>
      <x:c r="C17" s="18" t="s">
        <x:v>28</x:v>
      </x:c>
      <x:c r="D17" s="14" t="s">
        <x:v>124</x:v>
      </x:c>
      <x:c r="E17" s="14" t="s">
        <x:v>125</x:v>
      </x:c>
      <x:c r="F17" s="14" t="s">
        <x:v>126</x:v>
      </x:c>
      <x:c r="G17" s="14" t="s">
        <x:v>127</x:v>
      </x:c>
      <x:c r="H17" s="14" t="s">
        <x:v>128</x:v>
      </x:c>
    </x:row>
    <x:row r="18" ht="79.94999694824219" customHeight="1">
      <x:c r="A18" s="14" t="s">
        <x:v>129</x:v>
      </x:c>
      <x:c r="B18" s="14" t="s">
        <x:v>47</x:v>
      </x:c>
      <x:c r="C18" s="14" t="s">
        <x:v>29</x:v>
      </x:c>
      <x:c r="D18" s="14" t="s">
        <x:v>130</x:v>
      </x:c>
      <x:c r="E18" s="14" t="s">
        <x:v>131</x:v>
      </x:c>
      <x:c r="F18" s="14" t="s">
        <x:v>132</x:v>
      </x:c>
      <x:c r="G18" s="14" t="s">
        <x:v>133</x:v>
      </x:c>
      <x:c r="H18" s="14" t="s">
        <x:v>134</x:v>
      </x:c>
    </x:row>
    <x:row r="19" ht="79.94999694824219" customHeight="1">
      <x:c r="A19" s="14" t="s">
        <x:v>135</x:v>
      </x:c>
      <x:c r="B19" s="14" t="s">
        <x:v>47</x:v>
      </x:c>
      <x:c r="C19" s="14" t="s">
        <x:v>25</x:v>
      </x:c>
      <x:c r="D19" s="14" t="s">
        <x:v>136</x:v>
      </x:c>
      <x:c r="E19" s="14" t="s">
        <x:v>137</x:v>
      </x:c>
      <x:c r="F19" s="14" t="s">
        <x:v>138</x:v>
      </x:c>
      <x:c r="G19" s="14" t="s">
        <x:v>139</x:v>
      </x:c>
      <x:c r="H19" s="14" t="s">
        <x:v>140</x:v>
      </x:c>
    </x:row>
    <x:row r="20" ht="79.94999694824219" customHeight="1">
      <x:c r="A20" s="14" t="s">
        <x:v>141</x:v>
      </x:c>
      <x:c r="B20" s="14" t="s">
        <x:v>47</x:v>
      </x:c>
      <x:c r="C20" s="14" t="s">
        <x:v>29</x:v>
      </x:c>
      <x:c r="D20" s="21" t="s">
        <x:v>142</x:v>
      </x:c>
      <x:c r="E20" s="14" t="s">
        <x:v>143</x:v>
      </x:c>
      <x:c r="F20" s="14" t="s">
        <x:v>144</x:v>
      </x:c>
      <x:c r="G20" s="14" t="s">
        <x:v>145</x:v>
      </x:c>
      <x:c r="H20" s="14" t="s">
        <x:v>146</x:v>
      </x:c>
    </x:row>
    <x:row r="21" ht="79.94999694824219" customHeight="1">
      <x:c r="A21" s="14" t="s">
        <x:v>147</x:v>
      </x:c>
      <x:c r="B21" s="14" t="s">
        <x:v>47</x:v>
      </x:c>
      <x:c r="C21" s="14" t="s">
        <x:v>27</x:v>
      </x:c>
      <x:c r="D21" s="14" t="s">
        <x:v>148</x:v>
      </x:c>
      <x:c r="E21" s="14" t="s">
        <x:v>149</x:v>
      </x:c>
      <x:c r="F21" s="14" t="s">
        <x:v>150</x:v>
      </x:c>
      <x:c r="G21" s="14" t="s">
        <x:v>151</x:v>
      </x:c>
      <x:c r="H21" s="14" t="s">
        <x:v>152</x:v>
      </x:c>
    </x:row>
    <x:row r="22" ht="79.94999694824219" customHeight="1">
      <x:c r="A22" s="14" t="s">
        <x:v>153</x:v>
      </x:c>
      <x:c r="B22" s="14" t="s">
        <x:v>47</x:v>
      </x:c>
      <x:c r="C22" s="14" t="s">
        <x:v>25</x:v>
      </x:c>
      <x:c r="D22" s="14" t="s">
        <x:v>154</x:v>
      </x:c>
      <x:c r="E22" s="14" t="s">
        <x:v>155</x:v>
      </x:c>
      <x:c r="F22" s="14" t="s">
        <x:v>156</x:v>
      </x:c>
      <x:c r="G22" s="14" t="s">
        <x:v>157</x:v>
      </x:c>
      <x:c r="H22" s="14" t="s">
        <x:v>158</x:v>
      </x:c>
    </x:row>
    <x:row r="23" ht="79.94999694824219" customHeight="1">
      <x:c r="A23" s="14" t="s">
        <x:v>159</x:v>
      </x:c>
      <x:c r="B23" s="14" t="s">
        <x:v>160</x:v>
      </x:c>
      <x:c r="C23" s="14" t="s">
        <x:v>29</x:v>
      </x:c>
      <x:c r="D23" s="14" t="s">
        <x:v>161</x:v>
      </x:c>
      <x:c r="E23" s="14" t="s">
        <x:v>162</x:v>
      </x:c>
      <x:c r="F23" s="14" t="s">
        <x:v>163</x:v>
      </x:c>
      <x:c r="G23" s="14" t="s">
        <x:v>164</x:v>
      </x:c>
      <x:c r="H23" s="14" t="s">
        <x:v>165</x:v>
      </x:c>
    </x:row>
    <x:row r="24" ht="79.94999694824219" customHeight="1">
      <x:c r="A24" s="14" t="s">
        <x:v>166</x:v>
      </x:c>
      <x:c r="B24" s="14" t="s">
        <x:v>160</x:v>
      </x:c>
      <x:c r="C24" s="14" t="s">
        <x:v>28</x:v>
      </x:c>
      <x:c r="D24" s="14" t="s">
        <x:v>167</x:v>
      </x:c>
      <x:c r="E24" s="14" t="s">
        <x:v>168</x:v>
      </x:c>
      <x:c r="F24" s="14" t="s">
        <x:v>169</x:v>
      </x:c>
      <x:c r="G24" s="14" t="s">
        <x:v>170</x:v>
      </x:c>
      <x:c r="H24" s="14" t="s">
        <x:v>171</x:v>
      </x:c>
    </x:row>
    <x:row r="25" ht="79.94999694824219" customHeight="1">
      <x:c r="A25" s="14"/>
      <x:c r="B25" s="14"/>
      <x:c r="C25" s="14"/>
      <x:c r="D25" s="14"/>
      <x:c r="E25" s="14"/>
      <x:c r="F25" s="14"/>
      <x:c r="G25" s="14"/>
      <x:c r="H25" s="14"/>
    </x:row>
    <x:row r="26" ht="79.94999694824219" customHeight="1">
      <x:c r="A26" s="14"/>
      <x:c r="B26" s="14"/>
      <x:c r="C26" s="14"/>
      <x:c r="D26" s="14"/>
      <x:c r="E26" s="14"/>
      <x:c r="F26" s="14"/>
      <x:c r="G26" s="14"/>
      <x:c r="H26" s="14"/>
    </x:row>
  </x:sheetData>
  <x:mergeCells>
    <x:mergeCell ref="A1:H1"/>
    <x:mergeCell ref="A2:H2"/>
  </x:mergeCells>
  <x:pageMargins left="0.7" right="0.7" top="0.75" bottom="0.75" header="0.3" footer="0.3"/>
</x:worksheet>
</file>

<file path=xl/worksheets/sheet3.xml><?xml version="1.0" encoding="utf-8"?>
<x:worksheet xmlns:x="http://schemas.openxmlformats.org/spreadsheetml/2006/main">
  <x:sheetFormatPr defaultColWidth="9" defaultRowHeight="15"/>
  <x:cols>
    <x:col min="1" max="1" width="12" customWidth="1"/>
    <x:col min="2" max="2" width="22" customWidth="1"/>
    <x:col min="3" max="6" width="30" customWidth="1"/>
  </x:cols>
  <x:sheetData>
    <x:row r="1" ht="20.25">
      <x:c r="A1" s="15" t="s">
        <x:v>172</x:v>
      </x:c>
    </x:row>
    <x:row r="2">
      <x:c r="A2" s="16" t="s">
        <x:v>173</x:v>
      </x:c>
    </x:row>
    <x:row r="3" ht="40.04999923706055" customHeight="1">
      <x:c r="A3" s="4" t="s">
        <x:v>174</x:v>
      </x:c>
      <x:c r="B3" s="4" t="s">
        <x:v>175</x:v>
      </x:c>
      <x:c r="C3" s="4" t="s">
        <x:v>176</x:v>
      </x:c>
      <x:c r="D3" s="4" t="s">
        <x:v>177</x:v>
      </x:c>
      <x:c r="E3" s="4" t="s">
        <x:v>178</x:v>
      </x:c>
      <x:c r="F3" s="4" t="s">
        <x:v>179</x:v>
      </x:c>
    </x:row>
    <x:row r="4" ht="60" customHeight="1">
      <x:c r="A4" s="14" t="s">
        <x:v>53</x:v>
      </x:c>
      <x:c r="B4" s="14" t="s">
        <x:v>180</x:v>
      </x:c>
      <x:c r="C4" s="14" t="s">
        <x:v>181</x:v>
      </x:c>
      <x:c r="D4" s="14" t="s">
        <x:v>182</x:v>
      </x:c>
      <x:c r="E4" s="14" t="s">
        <x:v>183</x:v>
      </x:c>
      <x:c r="F4" s="14" t="s">
        <x:v>184</x:v>
      </x:c>
    </x:row>
    <x:row r="5" ht="30">
      <x:c r="A5" s="14" t="s">
        <x:v>185</x:v>
      </x:c>
      <x:c r="B5" s="14"/>
      <x:c r="C5" s="14"/>
      <x:c r="D5" s="14"/>
      <x:c r="E5" s="14"/>
      <x:c r="F5" s="14"/>
    </x:row>
    <x:row r="6" ht="60" customHeight="1">
      <x:c r="A6" s="14" t="s">
        <x:v>73</x:v>
      </x:c>
      <x:c r="B6" s="14" t="s">
        <x:v>186</x:v>
      </x:c>
      <x:c r="C6" s="14" t="s">
        <x:v>187</x:v>
      </x:c>
      <x:c r="D6" s="14" t="s">
        <x:v>188</x:v>
      </x:c>
      <x:c r="E6" s="14" t="s">
        <x:v>189</x:v>
      </x:c>
      <x:c r="F6" s="14" t="s">
        <x:v>190</x:v>
      </x:c>
    </x:row>
    <x:row r="7" ht="60" customHeight="1">
      <x:c r="A7" s="14" t="s">
        <x:v>141</x:v>
      </x:c>
      <x:c r="B7" s="14" t="s">
        <x:v>191</x:v>
      </x:c>
      <x:c r="C7" s="14" t="s">
        <x:v>192</x:v>
      </x:c>
      <x:c r="D7" s="14" t="s">
        <x:v>193</x:v>
      </x:c>
      <x:c r="E7" s="14" t="s">
        <x:v>194</x:v>
      </x:c>
      <x:c r="F7" s="14" t="s">
        <x:v>195</x:v>
      </x:c>
    </x:row>
    <x:row r="8" ht="60" customHeight="1">
      <x:c r="A8" s="14" t="s">
        <x:v>166</x:v>
      </x:c>
      <x:c r="B8" s="14" t="s">
        <x:v>186</x:v>
      </x:c>
      <x:c r="C8" s="14" t="s">
        <x:v>196</x:v>
      </x:c>
      <x:c r="D8" s="14" t="s">
        <x:v>197</x:v>
      </x:c>
      <x:c r="E8" s="14" t="s">
        <x:v>198</x:v>
      </x:c>
      <x:c r="F8" s="14" t="s">
        <x:v>199</x:v>
      </x:c>
    </x:row>
    <x:row r="9" ht="60" customHeight="1">
      <x:c r="A9" s="14"/>
      <x:c r="B9" s="14"/>
      <x:c r="C9" s="14"/>
      <x:c r="D9" s="14"/>
      <x:c r="E9" s="14"/>
      <x:c r="F9" s="14"/>
    </x:row>
    <x:row r="10" ht="60" customHeight="1">
      <x:c r="A10" s="14"/>
      <x:c r="B10" s="14"/>
      <x:c r="C10" s="14"/>
      <x:c r="D10" s="14"/>
      <x:c r="E10" s="14"/>
      <x:c r="F10" s="14"/>
    </x:row>
    <x:row r="11" ht="60" customHeight="1">
      <x:c r="A11" s="14"/>
      <x:c r="B11" s="14"/>
      <x:c r="C11" s="14"/>
      <x:c r="D11" s="14"/>
      <x:c r="E11" s="14"/>
      <x:c r="F11" s="14"/>
    </x:row>
    <x:row r="12" ht="60" customHeight="1">
      <x:c r="A12" s="14"/>
      <x:c r="B12" s="14"/>
      <x:c r="C12" s="14"/>
      <x:c r="D12" s="14"/>
      <x:c r="E12" s="14"/>
      <x:c r="F12" s="14"/>
    </x:row>
    <x:row r="13" ht="60" customHeight="1">
      <x:c r="A13" s="14"/>
      <x:c r="B13" s="14"/>
      <x:c r="C13" s="14"/>
      <x:c r="D13" s="14"/>
      <x:c r="E13" s="14"/>
      <x:c r="F13" s="14"/>
    </x:row>
    <x:row r="14" ht="60" customHeight="1">
      <x:c r="A14" s="14"/>
      <x:c r="B14" s="14"/>
      <x:c r="C14" s="14"/>
      <x:c r="D14" s="14"/>
      <x:c r="E14" s="14"/>
      <x:c r="F14" s="14"/>
    </x:row>
    <x:row r="15" ht="60" customHeight="1">
      <x:c r="A15" s="14"/>
      <x:c r="B15" s="14"/>
      <x:c r="C15" s="14"/>
      <x:c r="D15" s="14"/>
      <x:c r="E15" s="14"/>
      <x:c r="F15" s="14"/>
    </x:row>
    <x:row r="16" ht="60" customHeight="1">
      <x:c r="A16" s="14"/>
      <x:c r="B16" s="14"/>
      <x:c r="C16" s="14"/>
      <x:c r="D16" s="14"/>
      <x:c r="E16" s="14"/>
      <x:c r="F16" s="14"/>
    </x:row>
    <x:row r="17" ht="60" customHeight="1">
      <x:c r="A17" s="14"/>
      <x:c r="B17" s="14"/>
      <x:c r="C17" s="14"/>
      <x:c r="D17" s="14"/>
      <x:c r="E17" s="14"/>
      <x:c r="F17" s="14"/>
    </x:row>
    <x:row r="18" ht="60" customHeight="1">
      <x:c r="A18" s="14"/>
      <x:c r="B18" s="14"/>
      <x:c r="C18" s="14"/>
      <x:c r="D18" s="14"/>
      <x:c r="E18" s="14"/>
      <x:c r="F18" s="14"/>
    </x:row>
    <x:row r="19" ht="60" customHeight="1">
      <x:c r="A19" s="14"/>
      <x:c r="B19" s="14"/>
      <x:c r="C19" s="14"/>
      <x:c r="D19" s="14"/>
      <x:c r="E19" s="14"/>
      <x:c r="F19" s="14"/>
    </x:row>
    <x:row r="20" ht="60" customHeight="1">
      <x:c r="A20" s="14"/>
      <x:c r="B20" s="14"/>
      <x:c r="C20" s="14"/>
      <x:c r="D20" s="14"/>
      <x:c r="E20" s="14"/>
      <x:c r="F20" s="14"/>
    </x:row>
    <x:row r="21" ht="60" customHeight="1">
      <x:c r="A21" s="14"/>
      <x:c r="B21" s="14"/>
      <x:c r="C21" s="14"/>
      <x:c r="D21" s="14"/>
      <x:c r="E21" s="14"/>
      <x:c r="F21" s="14"/>
    </x:row>
    <x:row r="22" ht="60" customHeight="1">
      <x:c r="A22" s="14"/>
      <x:c r="B22" s="14"/>
      <x:c r="C22" s="14"/>
      <x:c r="D22" s="14"/>
      <x:c r="E22" s="14"/>
      <x:c r="F22" s="14"/>
    </x:row>
    <x:row r="23" ht="60" customHeight="1">
      <x:c r="A23" s="14"/>
      <x:c r="B23" s="14"/>
      <x:c r="C23" s="14"/>
      <x:c r="D23" s="14"/>
      <x:c r="E23" s="14"/>
      <x:c r="F23" s="14"/>
    </x:row>
    <x:row r="24" ht="60" customHeight="1">
      <x:c r="A24" s="14"/>
      <x:c r="B24" s="14"/>
      <x:c r="C24" s="14"/>
      <x:c r="D24" s="14"/>
      <x:c r="E24" s="14"/>
      <x:c r="F24" s="14"/>
    </x:row>
    <x:row r="30" ht="18">
      <x:c r="A30" s="3" t="s">
        <x:v>200</x:v>
      </x:c>
    </x:row>
    <x:row r="31">
      <x:c r="A31" s="12" t="s">
        <x:v>201</x:v>
      </x:c>
      <x:c r="B31" s="12" t="s">
        <x:v>202</x:v>
      </x:c>
      <x:c r="C31" s="12" t="s">
        <x:v>203</x:v>
      </x:c>
    </x:row>
    <x:row r="32" ht="30">
      <x:c r="A32" s="14" t="s">
        <x:v>180</x:v>
      </x:c>
      <x:c r="B32" s="14" t="s">
        <x:v>204</x:v>
      </x:c>
      <x:c r="C32" s="14" t="s">
        <x:v>205</x:v>
      </x:c>
    </x:row>
    <x:row r="33" ht="30">
      <x:c r="A33" s="14" t="s">
        <x:v>186</x:v>
      </x:c>
      <x:c r="B33" s="14" t="s">
        <x:v>206</x:v>
      </x:c>
      <x:c r="C33" s="14" t="s">
        <x:v>207</x:v>
      </x:c>
    </x:row>
    <x:row r="34" ht="30">
      <x:c r="A34" s="14" t="s">
        <x:v>208</x:v>
      </x:c>
      <x:c r="B34" s="14" t="s">
        <x:v>209</x:v>
      </x:c>
      <x:c r="C34" s="14" t="s">
        <x:v>210</x:v>
      </x:c>
    </x:row>
    <x:row r="35" ht="30">
      <x:c r="A35" s="14" t="s">
        <x:v>211</x:v>
      </x:c>
      <x:c r="B35" s="14" t="s">
        <x:v>212</x:v>
      </x:c>
      <x:c r="C35" s="14" t="s">
        <x:v>213</x:v>
      </x:c>
    </x:row>
    <x:row r="36" ht="45">
      <x:c r="A36" s="14" t="s">
        <x:v>214</x:v>
      </x:c>
      <x:c r="B36" s="14" t="s">
        <x:v>215</x:v>
      </x:c>
      <x:c r="C36" s="14" t="s">
        <x:v>216</x:v>
      </x:c>
    </x:row>
  </x:sheetData>
  <x:mergeCells>
    <x:mergeCell ref="A1:F1"/>
    <x:mergeCell ref="A2:F2"/>
  </x:mergeCells>
  <x:pageMargins left="0.7" right="0.7" top="0.75" bottom="0.75" header="0.3" footer="0.3"/>
</x:worksheet>
</file>

<file path=xl/worksheets/sheet4.xml><?xml version="1.0" encoding="utf-8"?>
<x:worksheet xmlns:x="http://schemas.openxmlformats.org/spreadsheetml/2006/main">
  <x:sheetFormatPr defaultColWidth="9" defaultRowHeight="15"/>
  <x:cols>
    <x:col min="1" max="1" width="8" customWidth="1"/>
    <x:col min="2" max="2" width="48" hidden="0" customWidth="1"/>
    <x:col min="3" max="3" width="12" hidden="0" customWidth="1"/>
    <x:col min="4" max="4" width="38" hidden="0" customWidth="1"/>
  </x:cols>
  <x:sheetData>
    <x:row r="1" ht="20.25">
      <x:c r="A1" s="1" t="s">
        <x:v>217</x:v>
      </x:c>
    </x:row>
    <x:row r="2">
      <x:c r="A2" s="2" t="s">
        <x:v>218</x:v>
      </x:c>
    </x:row>
    <x:row r="4" ht="18">
      <x:c r="A4" s="3" t="s">
        <x:v>219</x:v>
      </x:c>
    </x:row>
    <x:row r="5">
      <x:c r="A5" s="4" t="s">
        <x:v>220</x:v>
      </x:c>
      <x:c r="B5" s="5" t="s">
        <x:v>221</x:v>
      </x:c>
      <x:c r="C5" s="4" t="s">
        <x:v>222</x:v>
      </x:c>
      <x:c r="D5" s="5" t="s">
        <x:v>223</x:v>
      </x:c>
    </x:row>
    <x:row r="6" ht="36" hidden="0" customHeight="1">
      <x:c r="A6" s="6" t="s">
        <x:v>224</x:v>
      </x:c>
      <x:c r="B6" s="7" t="s">
        <x:v>225</x:v>
      </x:c>
      <x:c r="C6" s="55" t="str">
        <x:v>☑</x:v>
      </x:c>
      <x:c r="D6" s="61" t="str">
        <x:v>All 18 core prompts influenced important decisions in system design, business rules, testing, security, or implementation.</x:v>
      </x:c>
    </x:row>
    <x:row r="7" ht="36" hidden="0" customHeight="1">
      <x:c r="A7" s="6" t="s">
        <x:v>226</x:v>
      </x:c>
      <x:c r="B7" s="7" t="s">
        <x:v>227</x:v>
      </x:c>
      <x:c r="C7" s="55" t="str">
        <x:v>☑</x:v>
      </x:c>
      <x:c r="D7" s="61" t="str">
        <x:v>Without these prompts, the project architecture, workflow, or technical approach would materially change.</x:v>
      </x:c>
    </x:row>
    <x:row r="8" ht="24" hidden="0" customHeight="1">
      <x:c r="A8" s="6" t="s">
        <x:v>228</x:v>
      </x:c>
      <x:c r="B8" s="7" t="s">
        <x:v>229</x:v>
      </x:c>
      <x:c r="C8" s="55" t="str">
        <x:v>☑</x:v>
      </x:c>
      <x:c r="D8" s="61" t="str">
        <x:v>Each Human Delta explains why the AI suggestion was accepted, modified, or rejected.</x:v>
      </x:c>
    </x:row>
    <x:row r="9" ht="36" hidden="0" customHeight="1">
      <x:c r="A9" s="6" t="s">
        <x:v>230</x:v>
      </x:c>
      <x:c r="B9" s="7" t="s">
        <x:v>231</x:v>
      </x:c>
      <x:c r="C9" s="55" t="str">
        <x:v>☑</x:v>
      </x:c>
      <x:c r="D9" s="61" t="str">
        <x:v>18/18 entries include evidence such as diagrams, code files, screenshots, test results, or comparisons.</x:v>
      </x:c>
    </x:row>
    <x:row r="10" ht="36" hidden="0" customHeight="1">
      <x:c r="A10" s="6" t="s">
        <x:v>232</x:v>
      </x:c>
      <x:c r="B10" s="7" t="s">
        <x:v>233</x:v>
      </x:c>
      <x:c r="C10" s="55" t="str">
        <x:v>☑</x:v>
      </x:c>
      <x:c r="D10" s="61" t="str">
        <x:v>All entries demonstrate critical evaluation and decision ownership rather than simply copying AI output.</x:v>
      </x:c>
    </x:row>
    <x:row r="11" ht="15" hidden="0" customHeight="1">
      <x:c r="C11" s="59"/>
      <x:c r="D11" s="62"/>
    </x:row>
    <x:row r="12" ht="15" hidden="0" customHeight="1">
      <x:c r="A12" s="3" t="s">
        <x:v>234</x:v>
      </x:c>
      <x:c r="C12" s="59"/>
      <x:c r="D12" s="62"/>
    </x:row>
    <x:row r="13" ht="15" hidden="0" customHeight="1">
      <x:c r="A13" s="4" t="s">
        <x:v>220</x:v>
      </x:c>
      <x:c r="B13" s="5" t="s">
        <x:v>221</x:v>
      </x:c>
      <x:c r="C13" s="57" t="s">
        <x:v>222</x:v>
      </x:c>
      <x:c r="D13" s="63" t="s">
        <x:v>235</x:v>
      </x:c>
    </x:row>
    <x:row r="14" ht="24" hidden="0" customHeight="1">
      <x:c r="A14" s="6" t="s">
        <x:v>224</x:v>
      </x:c>
      <x:c r="B14" s="7" t="s">
        <x:v>236</x:v>
      </x:c>
      <x:c r="C14" s="55" t="str">
        <x:v>☑</x:v>
      </x:c>
      <x:c r="D14" s="61" t="str">
        <x:v>18 entries — PASS. LAB211 requires 16–24 core prompts.</x:v>
      </x:c>
    </x:row>
    <x:row r="15" ht="36" hidden="0" customHeight="1">
      <x:c r="A15" s="6" t="s">
        <x:v>226</x:v>
      </x:c>
      <x:c r="B15" s="7" t="s">
        <x:v>237</x:v>
      </x:c>
      <x:c r="C15" s="55" t="str">
        <x:v>☑</x:v>
      </x:c>
      <x:c r="D15" s="61" t="str">
        <x:v>Decomposition: 3; Pattern Recognition: 3; Abstraction: 4; Algorithms: 7 — PASS. Research Stage: 1 additional entry.</x:v>
      </x:c>
    </x:row>
    <x:row r="16" ht="24" hidden="0" customHeight="1">
      <x:c r="A16" s="6" t="s">
        <x:v>228</x:v>
      </x:c>
      <x:c r="B16" s="7" t="s">
        <x:v>238</x:v>
      </x:c>
      <x:c r="C16" s="55" t="str">
        <x:v>☑</x:v>
      </x:c>
      <x:c r="D16" s="61" t="str">
        <x:v>3 hallucination cases — PASS. LAB211 requires at least 2 cases.</x:v>
      </x:c>
    </x:row>
    <x:row r="17" ht="36" hidden="0" customHeight="1">
      <x:c r="A17" s="6" t="s">
        <x:v>230</x:v>
      </x:c>
      <x:c r="B17" s="7" t="s">
        <x:v>239</x:v>
      </x:c>
      <x:c r="C17" s="55" t="str">
        <x:v>☑</x:v>
      </x:c>
      <x:c r="D17" s="61" t="str">
        <x:v>18/18 entries include Critical Thinking, Contextualization, Creative Synthesis, and Decision Ownership — PASS.</x:v>
      </x:c>
    </x:row>
    <x:row r="18" ht="24" hidden="0" customHeight="1">
      <x:c r="A18" s="6" t="s">
        <x:v>232</x:v>
      </x:c>
      <x:c r="B18" s="7" t="s">
        <x:v>240</x:v>
      </x:c>
      <x:c r="C18" s="55" t="str">
        <x:v>☑</x:v>
      </x:c>
      <x:c r="D18" s="61" t="str">
        <x:v>18/18 entries include evidence = 100% — PASS. Minimum requirement: 70%.</x:v>
      </x:c>
    </x:row>
    <x:row r="20" ht="15.75">
      <x:c r="A20" s="8" t="s">
        <x:v>241</x:v>
      </x:c>
    </x:row>
    <x:row r="21">
      <x:c r="A21" s="9" t="s">
        <x:v>242</x:v>
      </x:c>
    </x:row>
    <x:row r="22">
      <x:c r="A22" s="9" t="s">
        <x:v>243</x:v>
      </x:c>
    </x:row>
    <x:row r="25" ht="18">
      <x:c r="A25" s="3" t="s">
        <x:v>244</x:v>
      </x:c>
    </x:row>
    <x:row r="26">
      <x:c r="A26" s="10" t="s">
        <x:v>245</x:v>
      </x:c>
    </x:row>
    <x:row r="27" ht="60">
      <x:c r="A27" s="11" t="s">
        <x:v>32</x:v>
      </x:c>
      <x:c r="B27" s="12" t="s">
        <x:v>246</x:v>
      </x:c>
      <x:c r="C27" s="12" t="s">
        <x:v>247</x:v>
      </x:c>
      <x:c r="D27" s="12" t="s">
        <x:v>248</x:v>
      </x:c>
    </x:row>
    <x:row r="28" ht="26.399999618530273" hidden="0" customHeight="1">
      <x:c r="A28" s="64" t="str">
        <x:v>#008</x:v>
      </x:c>
      <x:c r="B28" s="65" t="str">
        <x:v>Yes — I can explain why simultaneous threads are required to test whether synchronization prevents duplicate payment.</x:v>
      </x:c>
      <x:c r="C28" s="65" t="str">
        <x:v>Yes</x:v>
      </x:c>
      <x:c r="D28" s="65" t="str">
        <x:v>PayrollEntryRepositoryTest.java and JUnit test result</x:v>
      </x:c>
    </x:row>
    <x:row r="29" ht="26.399999618530273" hidden="0" customHeight="1">
      <x:c r="A29" s="64" t="str">
        <x:v>#014</x:v>
      </x:c>
      <x:c r="B29" s="65" t="str">
        <x:v>Yes — I can explain why leave-balance validation must occur before creating and saving the leave request.</x:v>
      </x:c>
      <x:c r="C29" s="65" t="str">
        <x:v>Yes</x:v>
      </x:c>
      <x:c r="D29" s="65" t="str">
        <x:v>Test requesting 10 days when only 5 remained and the corrected validation message</x:v>
      </x:c>
    </x:row>
    <x:row r="30" ht="26.399999618530273" hidden="0" customHeight="1">
      <x:c r="A30" s="64" t="str">
        <x:v>#016</x:v>
      </x:c>
      <x:c r="B30" s="65" t="str">
        <x:v>Yes — I can explain why the logged-in employee ID must come from the authenticated session instead of manual input.</x:v>
      </x:c>
      <x:c r="C30" s="65" t="str">
        <x:v>Yes</x:v>
      </x:c>
      <x:c r="D30" s="65" t="str">
        <x:v>PayrollView code and before-and-after access-control screenshots</x:v>
      </x:c>
    </x:row>
  </x:sheetData>
  <x:mergeCells>
    <x:mergeCell ref="A1:D1"/>
    <x:mergeCell ref="A2:D2"/>
  </x:mergeCells>
  <x:pageMargins left="0.7" right="0.7" top="0.75" bottom="0.75" header="0.3" footer="0.3"/>
</x:worksheet>
</file>