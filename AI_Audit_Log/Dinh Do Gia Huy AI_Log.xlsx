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AB211\Group1-LAB211\AI_Audit_Log\"/>
    </mc:Choice>
  </mc:AlternateContent>
  <xr:revisionPtr revIDLastSave="0" documentId="13_ncr:1_{D506403F-F76D-4AFD-927B-A4E68DD09D36}"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<sst xmlns="http://schemas.openxmlformats.org/spreadsheetml/2006/main" count="263" uniqueCount="222">
  <si>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</si>
  <si>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</si>
  <si>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</si>
  <si>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</si>
  <si>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</si>
  <si>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</si>
  <si>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</si>
  <si>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</si>
  <si>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</si>
  <si>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</si>
  <si>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</si>
  <si>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</si>
  <si>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</si>
  <si>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</si>
  <si>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</si>
  <si>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</si>
  <si>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</si>
  <si>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</si>
  <si>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</si>
  <si>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</si>
  <si>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</si>
  <si>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High</t>
  </si>
  <si>
    <t>Claude</t>
  </si>
  <si>
    <t>Medium</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</si>
  <si>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</si>
  <si>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</si>
  <si>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</si>
  <si>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</si>
  <si>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</si>
  <si>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</si>
  <si>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</si>
  <si>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</si>
  <si>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</si>
  <si>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</si>
  <si>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</si>
  <si>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</si>
  <si>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</si>
  <si>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</si>
  <si>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</si>
  <si>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</si>
  <si>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</si>
  <si>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</si>
  <si>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</si>
  <si>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</si>
  <si>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</si>
  <si>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</si>
  <si>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</si>
  <si>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</si>
  <si>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</si>
  <si>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</si>
  <si>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</si>
  <si>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</si>
  <si>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</si>
  <si>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</si>
  <si>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</si>
  <si>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</si>
  <si>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</si>
  <si>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</si>
  <si>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</si>
  <si>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</si>
  <si>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</si>
  <si>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</si>
  <si>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</si>
  <si>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</si>
  <si>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</si>
  <si>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</si>
  <si>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</si>
  <si>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</si>
  <si>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</si>
  <si>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</si>
  <si>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</si>
  <si>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</si>
  <si>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</si>
  <si>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</si>
  <si>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</si>
  <si>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</si>
  <si>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</si>
  <si>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</si>
  <si>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</si>
  <si>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</si>
  <si>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</si>
  <si>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</si>
  <si>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</si>
  <si>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</si>
  <si>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</si>
  <si>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</si>
  <si>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</si>
  <si>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</si>
  <si>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</si>
  <si>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</si>
  <si>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</si>
  <si>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</si>
  <si>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</si>
  <si>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</si>
  <si>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</si>
  <si>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</si>
  <si>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</si>
  <si>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</si>
  <si>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</si>
  <si>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</si>
  <si>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</si>
  <si>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</si>
  <si>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</si>
  <si>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</si>
  <si>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</si>
  <si>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</si>
  <si>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</si>
  <si>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</si>
  <si>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</si>
  <si>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Đinh Đỗ Gia Huy</t>
  </si>
  <si>
    <t>QE200022</t>
  </si>
  <si>
    <t>LAB211</t>
  </si>
  <si>
    <t>Employee Payroll Management Simulation</t>
  </si>
  <si>
    <t>Critical Thinking: AI đúng về cấu trúc công thức nhưng các tỷ lệ Bonus/Tax chỉ là giả định.
Contextualization: Đề không quy định chi tiết chính sách lương.
Creative Synthesis: Đối chiếu rubric và ghi rõ các giả định (OT 1.5×, Bonus 5%, Tax 10%/5%).
Decision Ownership: Giữ công thức hiện tại vì đáp ứng yêu cầu Payroll Simulation.</t>
  </si>
  <si>
    <t>The AI confirmed that the formula includes all required components (overtime, tax, bonus, and absence deduction). However, the tax and bonus percentages are assumptions because the project specification does not define exact values.</t>
  </si>
  <si>
    <t>Không chắc công thức tính lương cho FULLTIME và PARTTIME có đúng yêu cầu project hay không.</t>
  </si>
  <si>
    <t>Algorithms – Salary Calculation</t>
  </si>
  <si>
    <t>#001</t>
  </si>
  <si>
    <t>#002</t>
  </si>
  <si>
    <t>Verification</t>
  </si>
  <si>
    <t>Thắc mắc cách tính lương của nhân viên FULLTIME và PARTTIME và mức lương được sinh nằm trong khoảng nào.</t>
  </si>
  <si>
    <t>FULLTIME base salary ranges from 8M–20M VND, while PARTTIME ranges from 4M–10M VND. Final salary is calculated by adding OT and bonus, then subtracting tax and absence deduction.</t>
  </si>
  <si>
    <t>Critical Thinking:Kiểm tra lại code để xác nhận mức lương cơ bản của FULLTIME và PARTTIME trước khi tính OT và bonus.
Contextualization:Hỏi nhiều lần mới trả lời chính xác được trọng tâm
Creative Synthesis:Xác định công thức cuối cùng gồm: Base Salary + OT + Bonus − Tax − Deduction.
Decision Ownership:Giữ nguyên khoảng lương hiện tại vì phù hợp cho Payroll Simulation và testing.</t>
  </si>
  <si>
    <t>Critical Thinking: Cùng seed sẽ tạo cùng dữ liệu mỗi lần chạy.
Contextualization: Dễ debug và so sánh kết quả simulation.
Creative Synthesis: Giữ seed cố định trong DataGenerator.
Decision: Continue using Random(42).</t>
  </si>
  <si>
    <t>PROBLEM SOLVING</t>
  </si>
  <si>
    <t>AI đề xuất tối thiểu 4000 requests.</t>
  </si>
  <si>
    <t>Không biết cần tạo bao nhiêu leave requests.</t>
  </si>
  <si>
    <t>Leave Request Volume</t>
  </si>
  <si>
    <t>#003</t>
  </si>
  <si>
    <t>#004</t>
  </si>
  <si>
    <t>Problem-Solving</t>
  </si>
  <si>
    <t>Kết quả lương trong Java đang hiển thị dạng scientific notation (1.3622727E7), khó đọc và chưa làm tròn số tiền.</t>
  </si>
  <si>
    <t>Critical Thinking: Tôi kiểm tra lại output và xác nhận Java tự động hiển thị kiểu double dưới dạng scientific notation khi số quá lớn.
Contextualization: Project Payroll cần output dễ đọc để kiểm tra Gross Salary, Tax và Net Salary trong quá trình testing.
Creative Synthesis:
-DecimalFormat("#,##0") để format tiền
-Math.ceil(... / 1000) * 1000 để làm tròn lên hàng nghìn.
Decision:Giữ  format mới vì output rõ ràng hơn</t>
  </si>
  <si>
    <t>Incorrect Calculation</t>
  </si>
  <si>
    <t>FULLTIME salary range = 15M–30M, PARTTIME = 5M–12M</t>
  </si>
  <si>
    <t>Source code cho thấy Base Salary: FULLTIME = 8M–20M, PARTTIME = 4M–10M</t>
  </si>
  <si>
    <t>Kiểm tra lại generatePayrollEntries() và công thức random salary</t>
  </si>
  <si>
    <t>Cập nhật tài liệu và AI Log bằng khoảng lương chính xác</t>
  </si>
  <si>
    <t>Mismatch</t>
  </si>
  <si>
    <t>AI trả lời về số lượng Leave Requests (4000 requests) khi câu hỏi thực tế là lý do sử dụng Random(42)</t>
  </si>
  <si>
    <t>Random(42) dùng để tạo dữ liệu lặp lại (reproducible data), không liên quan đến số lượng leave requests</t>
  </si>
  <si>
    <t>So sánh Prompt và AI Response trong Entry #003</t>
  </si>
  <si>
    <t>Random(42) giúp tạo cùng dữ liệu ở mỗi lần chạy để dễ debug và kiểm thử</t>
  </si>
  <si>
    <t>Code generate, analytics, group work division, review, debug,...</t>
  </si>
  <si>
    <t>Report writing support,..</t>
  </si>
  <si>
    <t>Gemini</t>
  </si>
  <si>
    <t>cách tính lương của nhân viên parttime và fulltime có thực sự giống như yêu cầu của project k</t>
  </si>
  <si>
    <t>tôi muốn hỏi là lương của nhân viên parttime và fulltime được tính bằng cách nào và lương nằm trong khoảng nào</t>
  </si>
  <si>
    <t>Tại sao biến Random được khởi tạo với seed(42) fixed</t>
  </si>
  <si>
    <t>làm tròn số lương và sửa lại format</t>
  </si>
  <si>
    <t>#005</t>
  </si>
  <si>
    <t>#006</t>
  </si>
  <si>
    <t>#007</t>
  </si>
  <si>
    <t>#008</t>
  </si>
  <si>
    <t>#009</t>
  </si>
  <si>
    <t>#010</t>
  </si>
  <si>
    <t>Không biết vì sao update(), delete(), count() không tồn tại.</t>
  </si>
  <si>
    <t>The method update(Employee) is undefined for EmployeeRepository.</t>
  </si>
  <si>
    <t>AI giải thích EmployeeRepository chưa kế thừa CsvRepository hoặc CRUD chưa được thêm.</t>
  </si>
  <si>
    <t>PROBLEM</t>
  </si>
  <si>
    <t>Lỗi NullPointerException khi Create Employee.</t>
  </si>
  <si>
    <t>Cannot invoke EmpType.name() because empType is null</t>
  </si>
  <si>
    <t>AI xác định empType chưa được gán trước khi ghi CSV.</t>
  </si>
  <si>
    <t>Design</t>
  </si>
  <si>
    <t>Có nên dùng static trong SalaryCalculator.</t>
  </si>
  <si>
    <t>Tôi muốn tạo object thay vì static.</t>
  </si>
  <si>
    <t>AI giải thích sự khác nhau giữa static và object.</t>
  </si>
  <si>
    <t>AI gợi ý sử dụng Java Reflection (`Field.setAccessible(true)`) để inject private static final FILE_PATH trong JUnit 5 test là approach tốt nhất.</t>
  </si>
  <si>
    <t>Reflection approach có nhiều vấn đề: (1) Có thể fail với SecurityManager trong một số JVM config. (2) Brittle – nếu rename field sẽ break silently. (3) Không cần thiết vì đã có cách clean hơn với abstract method pattern.</t>
  </si>
  <si>
    <t>Thử cả hai approach: reflection test vs anonymous subclass override. Reflection gây warning 'WARNING: An illegal reflective access operation has occurred' trên Java 11+. Anonymous subclass không có warning và compile-safe.</t>
  </si>
  <si>
    <t>Dùng anonymous subclass override `getFilePath()` thay vì reflection: `new EmployeeRepository() { @Override protected String getFilePath() { return tempDir + "/test.csv"; } }`. Document thành 'Repository Test Pattern' cho team.</t>
  </si>
  <si>
    <t>Pattern Recognition – Repository Test</t>
  </si>
  <si>
    <t>JUnit 5 test với @TempDir không thể redirect EmployeeRepository về temp file vì FILE_PATH là private static final – không inject được.</t>
  </si>
  <si>
    <t>Làm thế nào để test CsvRepository subclass với JUnit 5 @TempDir khi file path là private static final và không có setter/constructor injection?</t>
  </si>
  <si>
    <t>AI gợi ý 3 approaches: (1) reflection để set field, (2) subclass override getFilePath(), (3) environment variable. Recommend dùng anonymous subclass override getFilePath().</t>
  </si>
  <si>
    <t>Critical Thinking: AI đúng, anonymous subclass là cách clean nhất. Reflection approach brittle và có thể fail với SecurityManager.
Contextualization: Team đã commit code với private static final FILE_PATH – không thể thay đổi Vy's code vì sẽ gây merge conflict. Cần workaround không đụng production code.
Creative Synthesis: Tôi dùng anonymous subclass trong test: `new EmployeeRepository() { @Override protected String getFilePath() { return tempDir + "/employees.csv"; } }`. Clean và không cần thay production code.
Decision Ownership: Document pattern này làm 'Repository Test Pattern' cho team biết dùng lại.</t>
  </si>
  <si>
    <t>Algorithms – Optimistic Lock</t>
  </si>
  <si>
    <t>Cần chọn cơ chế chống double payment cho PayrollEntry khi nhiều thread xử lý đồng thời – synchronized block hay optimistic lock với version field?</t>
  </si>
  <si>
    <t>So sánh synchronized block vs optimistic locking (version field) để chống double payment trong PayrollEntryRepository. Trường hợp nào nên dùng cái nào?</t>
  </si>
  <si>
    <t>AI giải thích: synchronized đơn giản nhưng throughput thấp (thread phải chờ). Optimistic lock throughput cao hơn nhưng cần retry logic khi version conflict.</t>
  </si>
  <si>
    <t>Critical Thinking: AI đúng về trade-off. Với project này (simulation, không phải production), cả hai đều valid. Nhưng version field đã có trong PayrollEntry.csv schema (cột 13).
Contextualization: Week 7 yêu cầu implement và SO SÁNH 4 strategies – cần implement cả hai để compare, không chỉ chọn 1.
Creative Synthesis: PayrollEntry.version field dùng cho optimistic lock. processWithSync() dùng synchronized keyword. processWithOptimistic() check version trước khi update. Cả hai trong cùng repository.
Decision Ownership: Implement cả hai methods trong PayrollEntryRepository: processWithSync() và processWithOptimistic(). Test PayrollEntryRepositoryTest kiểm tra 3 thread đồng thời.</t>
  </si>
  <si>
    <t>Decomposition – View Layer Design</t>
  </si>
  <si>
    <t>Thiết kế View layer cho hệ thống: cần bao nhiêu View class và responsibility của mỗi class là gì?</t>
  </si>
  <si>
    <t>Làm thế nào để thiết kế View layer cho Employee Payroll Management console app đúng MVC, View chỉ được display và collect input, không tính toán?</t>
  </si>
  <si>
    <t>AI đề xuất 4 View class: MainView (menu chính), PayrollView (payroll operations), LeaveView (leave management), ReportView (báo cáo). Main.java là entry point.</t>
  </si>
  <si>
    <t>Critical Thinking: AI đúng về phân chia 4 View. Tuy nhiên AI không nhắc đến constraint: View KHÔNG ĐƯỢC gọi SalaryCalculator trực tiếp – mọi calculation đều qua Controller.
Contextualization: Rubric của LAB211 penalize nếu View access Model trực tiếp để tính toán. View chỉ được gọi Controller methods.
Creative Synthesis: Tôi thêm rule: View chỉ gọi controller.processPayroll(), controller.approveLeave() – không bao giờ new SalaryCalculator() trong View. Comment explicit trong code.
Decision Ownership: MainView + PayrollView + LeaveView + ReportView + Main.java. Main.java đặt ở root src/ (không có package declaration để match project structure).</t>
  </si>
  <si>
    <t>Algorithms – CSV Header Handling</t>
  </si>
  <si>
    <t>loadAll() đọc dòng header của CSV vào như data, gây parse error vì 'empId' không thể parse thành int.</t>
  </si>
  <si>
    <t>CsvRepository.loadAll() parse dòng đầu tiên (header) như data record, gây IllegalArgumentException. Cách fix mà không hardcode header string?</t>
  </si>
  <si>
    <t>AI gợi ý: skip dòng i==0, hoặc check if first field matches header name, hoặc dùng abstract getHeader() method và compare.</t>
  </si>
  <si>
    <t>Critical Thinking: Skip index 0 là đơn giản nhất. Check by header name phức tạp hơn không cần thiết. Tuy nhiên AI bỏ qua edge case: file mới tạo chỉ có header, loadAll() phải return empty list chứ không phải error.
Contextualization: saveAll() luôn ghi header đầu tiên (qua getHeader()). Vậy file luôn có header ở line 1 khi được tạo bởi hệ thống.
Creative Synthesis: `for (int i = 1; i &lt; lines.size(); i++)` – skip index 0. Bọc parse lỗi với CsvParseException ghi rõ line number và content để debug.
Decision Ownership: Implement skip-header pattern ở CsvRepository.loadAll(). Subclass không cần lo về header khi gọi loadAll().</t>
  </si>
  <si>
    <t>Pattern Recognition – CSV Parse Safety</t>
  </si>
  <si>
    <t>Một số CSV field có thể rỗng (approvedBy khi LeaveRequest PENDING), split(",") bỏ trailing empty fields gây ArrayIndexOutOfBoundsException.</t>
  </si>
  <si>
    <t>Java String.split(',') bỏ trailing empty strings. Khi CSV dòng có `...,PENDING,,2024-01-15` (approvedBy rỗng), split cho 9 phần tử thay vì 10. Fix thế nào?</t>
  </si>
  <si>
    <t>AI giải thích: dùng split(',', -1) với limit=-1 giữ trailing empty strings. Limit=0 (default) bỏ trailing empties.</t>
  </si>
  <si>
    <t>Algorithms – Performance Testing</t>
  </si>
  <si>
    <t>Cần viết performance test cho AttendanceRepository với 12,000 records – threshold nên đặt bao nhiêu ms là hợp lý?</t>
  </si>
  <si>
    <t>Performance test đọc 12,000 dòng CSV của AttendanceRepository nên đặt threshold bao nhiêu milliseconds để test meaningful nhưng không flaky?</t>
  </si>
  <si>
    <t>AI gợi ý threshold 500ms là reasonable cho 12K records đọc từ disk. Nếu chạy trên CI/CD có thể nới lỏng lên 2000ms.</t>
  </si>
  <si>
    <t>Critical Thinking: AI gợi ý 500ms nhưng không tính đến JVM warm-up time. Lần đầu chạy test có thể chậm hơn do class loading và JIT.
Contextualization: Test chạy trên local machine với SSD, không phải CI/CD. 12K records x 8 columns = nhỏ, dưới 1s là realistic.
Creative Synthesis: Đặt threshold 1000ms (1 giây) thay vì 500ms để tránh flaky test trên hardware khác nhau. In execution time ra console để monitor.
Decision Ownership: `assertTrue(timeMs &lt; 1000)` trong AttendancePerformanceTest. Đủ strict để phát hiện regression nhưng không quá strict.</t>
  </si>
  <si>
    <t>Abstraction – Exception Hierarchy</t>
  </si>
  <si>
    <t>Cần thiết kế exception hierarchy cho project: bao nhiêu custom exception, checked vs unchecked?</t>
  </si>
  <si>
    <t>Project Payroll cần những custom exception nào? InsufficientLeaveException nên là checked hay unchecked? DuplicatePaymentException thì sao?</t>
  </si>
  <si>
    <t>AI gợi ý: InsufficientLeaveException = checked (business rule violation, caller phải handle), DuplicatePaymentException và OptimisticLockException = unchecked (programming error).</t>
  </si>
  <si>
    <t>Critical Thinking: AI đúng về phân loại. InsufficientLeaveException checked vì HR cần handle gracefully (show message, not crash). DuplicatePayment unchecked vì không nên xảy ra nếu code đúng.
Contextualization: CsvParseException unchecked vì nếu CSV corrupt là system error, không phải business logic error. Caller không thể recover.
Creative Synthesis: 4 exceptions: InsufficientLeaveException(checked), OptimisticLockException(unchecked), CsvParseException(unchecked với lineNumber field), DuplicatePaymentException(unchecked).
Decision Ownership: Exception package riêng, mỗi exception có constructor nhận message. CsvParseException thêm lineContent và lineNumber để debug CSV errors.</t>
  </si>
  <si>
    <t>Critical Thinking: AI đúng hoàn toàn. split(',', -1) là fix chuẩn cho CSV với optional fields.
Contextualization: LeaveRequest.approvedBy = '' khi PENDING,                        PayrollEntry.processedAt = '' khi PENDING – cả hai dùng split(',', -1) trong fromCsvLine().
Creative Synthesis: Áp dụng split(',', -1) cho tất cả fromCsvLine() trong project. Thêm null-safe check: `approvedBy = parts[8].trim()` (không throw nếu rỗng).
Decision Ownership: Standard pattern cho toàn project: tất cả fromCsvLine() dùng split(',', -1) và trim() từng field.</t>
  </si>
  <si>
    <t>#011</t>
  </si>
  <si>
    <t>#012</t>
  </si>
  <si>
    <t>#013</t>
  </si>
  <si>
    <t>#014</t>
  </si>
  <si>
    <t>The issue "1.0E7" indicated that the salary value was stored incorrectly.</t>
  </si>
  <si>
    <t>The salary value was correct. The problem was only the default scientific notation when printing a double in Employee.toString().</t>
  </si>
  <si>
    <t>Checked Employee.java and confirmed that the value was stored correctly but displayed using Java's default formatting.</t>
  </si>
  <si>
    <t>Changed Employee.toString() to use String.format("%,.0f", baseSalary) for readable salary output.</t>
  </si>
  <si>
    <t>AttendanceRepository supports loadAll() inherited from CsvRepository.</t>
  </si>
  <si>
    <t>The actual AttendanceRepository in the project did not implement loadAll(). It used a different API, so the suggested performance test could not compile.</t>
  </si>
  <si>
    <t>Reviewed AttendanceRepository.java and compared it with the generated benchmark code.</t>
  </si>
  <si>
    <t>Modified the performance test to use the actual repository method instead of loadAll().</t>
  </si>
  <si>
    <t>The AI suggested using DecimalFormat to display numbers with comma separators and using Math.ceil(value / 1000.0) * 1000 to round salary values up to the nearest thousand.</t>
  </si>
  <si>
    <t>Critical Thinking: AI đúng.                                                                         Contextualization: Tôi đang dùng Repository cũ.                                                       Creative Synthesis: Chuyển EmployeeRepository sang Generic Repository.               Decision: Refactor thay vì thêm từng hàm riêng.</t>
  </si>
  <si>
    <t>Critical Thinking: AI đúng.                                                                         Contextualization: Test tạo Employee thiếu EmpType.                                               Creative Synthesis: Khởi tạo đầy đủ Employee trước khi add().                               Decision: Validate dữ liệu trước khi lưu.</t>
  </si>
  <si>
    <t>Critical Thinking: Object linh hoạt hơn khi mở rộng.                                    Contextualization: Project có thể có nhiều SalaryCalculator.                                      Creative Synthesis: Chuyển sang instance methods.                                               Decision: Không dùng static.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</si>
</sst>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b/>
      <sz val="11"/>
      <color rgb="FFFFFFFF"/>
      <name val="Arial"/>
      <family val="2"/>
      <charset val="163"/>
    </font>
    <font>
      <sz val="11"/>
      <color theme="1"/>
      <name val="Arial"/>
      <family val="2"/>
      <charset val="163"/>
      <scheme val="minor"/>
    </font>
  </fonts>
  <fills count="7">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FFFFFF"/>
      </patternFill>
    </fill>
    <fill>
      <patternFill patternType="solid">
        <fgColor rgb="FFF5F5F5"/>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bottom/>
      <diagonal/>
    </border>
  </borders>
  <cellStyleXfs count="1">
    <xf numFmtId="0" fontId="0" fillId="0" borderId="0"/>
  </cellStyleXfs>
  <cellXfs count="3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0" fillId="0" borderId="0" xfId="0" applyAlignment="1">
      <alignment vertical="top"/>
    </xf>
    <xf numFmtId="0" fontId="0" fillId="0" borderId="0" xfId="0" applyAlignment="1">
      <alignment vertical="top" wrapText="1"/>
    </xf>
    <xf numFmtId="0" fontId="0" fillId="0" borderId="0" xfId="0" applyAlignment="1">
      <alignment vertical="center" wrapText="1"/>
    </xf>
    <xf numFmtId="0" fontId="0" fillId="0" borderId="0" xfId="0" applyAlignment="1">
      <alignment horizontal="left" vertical="top" wrapText="1"/>
    </xf>
    <xf numFmtId="0" fontId="0" fillId="0" borderId="0" xfId="0" quotePrefix="1" applyAlignment="1">
      <alignment horizontal="left" vertical="top" wrapText="1"/>
    </xf>
    <xf numFmtId="0" fontId="0" fillId="0" borderId="1" xfId="0" quotePrefix="1" applyBorder="1" applyAlignment="1">
      <alignment horizontal="left" vertical="top" wrapText="1"/>
    </xf>
    <xf numFmtId="0" fontId="0" fillId="0" borderId="1" xfId="0" applyBorder="1" applyAlignment="1">
      <alignment vertical="top" wrapText="1"/>
    </xf>
    <xf numFmtId="0" fontId="14" fillId="0" borderId="0" xfId="0" applyFont="1" applyAlignment="1">
      <alignment vertical="top" wrapText="1"/>
    </xf>
    <xf numFmtId="0" fontId="0" fillId="5" borderId="2" xfId="0" applyFill="1" applyBorder="1" applyAlignment="1">
      <alignment vertical="top" wrapText="1"/>
    </xf>
    <xf numFmtId="0" fontId="0" fillId="6" borderId="2" xfId="0" applyFill="1" applyBorder="1" applyAlignment="1">
      <alignment vertical="top" wrapText="1"/>
    </xf>
    <xf numFmtId="0" fontId="0" fillId="0" borderId="3" xfId="0" applyBorder="1" applyAlignment="1">
      <alignment horizontal="left" vertical="top" wrapText="1"/>
    </xf>
    <xf numFmtId="0" fontId="6" fillId="0" borderId="0" xfId="0" applyFont="1" applyAlignment="1">
      <alignment horizontal="left" vertical="top" wrapText="1"/>
    </xf>
    <xf numFmtId="0" fontId="1" fillId="0" borderId="0" xfId="0" applyFont="1" applyAlignment="1">
      <alignment horizontal="center" vertical="center"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4" workbookViewId="0">
      <selection activeCell="C17" sqref="C17"/>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3" t="s">
        <v>0</v>
      </c>
      <c r="B1" s="32"/>
      <c r="C1" s="32"/>
      <c r="D1" s="32"/>
      <c r="E1" s="32"/>
      <c r="F1" s="32"/>
    </row>
    <row r="3" spans="1:6" ht="17.399999999999999" x14ac:dyDescent="0.3">
      <c r="A3" s="1" t="s">
        <v>1</v>
      </c>
    </row>
    <row r="4" spans="1:6" x14ac:dyDescent="0.25">
      <c r="A4" s="2" t="s">
        <v>2</v>
      </c>
      <c r="C4" t="s">
        <v>109</v>
      </c>
    </row>
    <row r="5" spans="1:6" x14ac:dyDescent="0.25">
      <c r="A5" s="2" t="s">
        <v>3</v>
      </c>
      <c r="C5" t="s">
        <v>110</v>
      </c>
    </row>
    <row r="6" spans="1:6" x14ac:dyDescent="0.25">
      <c r="A6" s="2" t="s">
        <v>4</v>
      </c>
      <c r="C6" t="s">
        <v>111</v>
      </c>
    </row>
    <row r="7" spans="1:6" x14ac:dyDescent="0.25">
      <c r="A7" s="2" t="s">
        <v>5</v>
      </c>
      <c r="C7" t="s">
        <v>112</v>
      </c>
    </row>
    <row r="9" spans="1:6" ht="17.399999999999999" x14ac:dyDescent="0.3">
      <c r="A9" s="1" t="s">
        <v>6</v>
      </c>
    </row>
    <row r="10" spans="1:6" x14ac:dyDescent="0.25">
      <c r="A10" s="2" t="s">
        <v>7</v>
      </c>
      <c r="C10" t="s">
        <v>8</v>
      </c>
    </row>
    <row r="11" spans="1:6" x14ac:dyDescent="0.25">
      <c r="A11" s="2" t="s">
        <v>9</v>
      </c>
      <c r="C11" s="3" t="s">
        <v>10</v>
      </c>
    </row>
    <row r="12" spans="1:6" x14ac:dyDescent="0.25">
      <c r="A12" s="2" t="s">
        <v>11</v>
      </c>
      <c r="C12" s="4" t="e">
        <f>C11/C10</f>
        <v>#VALUE!</v>
      </c>
      <c r="E12" s="5" t="s">
        <v>12</v>
      </c>
    </row>
    <row r="13" spans="1:6" x14ac:dyDescent="0.25">
      <c r="A13" s="2" t="s">
        <v>13</v>
      </c>
      <c r="C13" s="3" t="s">
        <v>14</v>
      </c>
    </row>
    <row r="15" spans="1:6" ht="17.399999999999999" x14ac:dyDescent="0.3">
      <c r="A15" s="1" t="s">
        <v>15</v>
      </c>
    </row>
    <row r="16" spans="1:6" x14ac:dyDescent="0.25">
      <c r="A16" s="6" t="s">
        <v>16</v>
      </c>
      <c r="B16" s="6" t="s">
        <v>17</v>
      </c>
      <c r="C16" s="6" t="s">
        <v>18</v>
      </c>
      <c r="D16" s="6" t="s">
        <v>19</v>
      </c>
    </row>
    <row r="17" spans="1:4" x14ac:dyDescent="0.25">
      <c r="A17" s="7" t="s">
        <v>20</v>
      </c>
      <c r="B17" s="7" t="s">
        <v>144</v>
      </c>
      <c r="C17" s="7" t="s">
        <v>23</v>
      </c>
      <c r="D17" s="7"/>
    </row>
    <row r="18" spans="1:4" ht="27.6" x14ac:dyDescent="0.25">
      <c r="A18" s="7" t="s">
        <v>22</v>
      </c>
      <c r="B18" s="7" t="s">
        <v>143</v>
      </c>
      <c r="C18" s="7" t="s">
        <v>21</v>
      </c>
      <c r="D18" s="7"/>
    </row>
    <row r="19" spans="1:4" x14ac:dyDescent="0.25">
      <c r="A19" s="7" t="s">
        <v>145</v>
      </c>
      <c r="B19" s="7"/>
      <c r="C19" s="7"/>
      <c r="D19" s="7"/>
    </row>
    <row r="20" spans="1:4" x14ac:dyDescent="0.25">
      <c r="A20" s="7" t="s">
        <v>24</v>
      </c>
      <c r="B20" s="7"/>
      <c r="C20" s="7"/>
      <c r="D20" s="7"/>
    </row>
    <row r="22" spans="1:4" ht="17.399999999999999" x14ac:dyDescent="0.3">
      <c r="A22" s="1" t="s">
        <v>25</v>
      </c>
    </row>
    <row r="23" spans="1:4" x14ac:dyDescent="0.25">
      <c r="A23" s="6" t="s">
        <v>26</v>
      </c>
      <c r="B23" s="6" t="s">
        <v>27</v>
      </c>
      <c r="C23" s="6" t="s">
        <v>28</v>
      </c>
    </row>
    <row r="24" spans="1:4" x14ac:dyDescent="0.25">
      <c r="A24" s="7" t="s">
        <v>29</v>
      </c>
      <c r="B24" s="8">
        <v>0</v>
      </c>
      <c r="C24" s="9" t="s">
        <v>30</v>
      </c>
    </row>
    <row r="25" spans="1:4" x14ac:dyDescent="0.25">
      <c r="A25" s="7" t="s">
        <v>31</v>
      </c>
      <c r="B25" s="8">
        <v>0</v>
      </c>
      <c r="C25" s="9" t="s">
        <v>30</v>
      </c>
    </row>
    <row r="26" spans="1:4" x14ac:dyDescent="0.25">
      <c r="A26" s="7" t="s">
        <v>32</v>
      </c>
      <c r="B26" s="8">
        <v>0</v>
      </c>
      <c r="C26" s="9" t="s">
        <v>30</v>
      </c>
    </row>
    <row r="27" spans="1:4" x14ac:dyDescent="0.25">
      <c r="A27" s="7" t="s">
        <v>33</v>
      </c>
      <c r="B27" s="8">
        <v>0</v>
      </c>
      <c r="C27" s="9" t="s">
        <v>30</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zoomScale="70" zoomScaleNormal="70" workbookViewId="0">
      <selection activeCell="G18" sqref="G18"/>
    </sheetView>
  </sheetViews>
  <sheetFormatPr defaultRowHeight="13.8" x14ac:dyDescent="0.25"/>
  <cols>
    <col min="1" max="1" width="12.796875" customWidth="1"/>
    <col min="2" max="2" width="27.19921875" customWidth="1"/>
    <col min="3" max="3" width="22.8984375" customWidth="1"/>
    <col min="4" max="4" width="32.09765625" customWidth="1"/>
    <col min="5" max="5" width="35.296875" customWidth="1"/>
    <col min="6" max="6" width="48.3984375" customWidth="1"/>
    <col min="7" max="7" width="77.796875" customWidth="1"/>
    <col min="8" max="8" width="20" customWidth="1"/>
  </cols>
  <sheetData>
    <row r="1" spans="1:8" ht="13.8" customHeight="1" x14ac:dyDescent="0.25">
      <c r="A1" s="31" t="s">
        <v>34</v>
      </c>
    </row>
    <row r="2" spans="1:8" ht="30" customHeight="1" x14ac:dyDescent="0.25">
      <c r="A2" s="30" t="s">
        <v>35</v>
      </c>
    </row>
    <row r="3" spans="1:8" ht="40.049999999999997" customHeight="1" x14ac:dyDescent="0.25">
      <c r="A3" s="6" t="s">
        <v>36</v>
      </c>
      <c r="B3" s="18" t="s">
        <v>37</v>
      </c>
      <c r="C3" s="18" t="s">
        <v>38</v>
      </c>
      <c r="D3" s="18" t="s">
        <v>39</v>
      </c>
      <c r="E3" s="6" t="s">
        <v>40</v>
      </c>
      <c r="F3" s="6" t="s">
        <v>41</v>
      </c>
      <c r="G3" s="6" t="s">
        <v>42</v>
      </c>
      <c r="H3" s="18" t="s">
        <v>43</v>
      </c>
    </row>
    <row r="4" spans="1:8" ht="103.8" customHeight="1" x14ac:dyDescent="0.25">
      <c r="A4" s="7" t="s">
        <v>117</v>
      </c>
      <c r="B4" s="7" t="s">
        <v>119</v>
      </c>
      <c r="C4" s="7" t="s">
        <v>116</v>
      </c>
      <c r="D4" s="7" t="s">
        <v>115</v>
      </c>
      <c r="E4" s="7" t="s">
        <v>146</v>
      </c>
      <c r="F4" s="7" t="s">
        <v>114</v>
      </c>
      <c r="G4" s="7" t="s">
        <v>113</v>
      </c>
      <c r="H4" s="7"/>
    </row>
    <row r="5" spans="1:8" ht="137.4" customHeight="1" x14ac:dyDescent="0.25">
      <c r="A5" s="7" t="s">
        <v>118</v>
      </c>
      <c r="B5" s="19" t="s">
        <v>119</v>
      </c>
      <c r="C5" s="20" t="s">
        <v>116</v>
      </c>
      <c r="D5" s="7" t="s">
        <v>120</v>
      </c>
      <c r="E5" s="7" t="s">
        <v>147</v>
      </c>
      <c r="F5" s="20" t="s">
        <v>121</v>
      </c>
      <c r="G5" s="7" t="s">
        <v>122</v>
      </c>
      <c r="H5" s="7"/>
    </row>
    <row r="6" spans="1:8" ht="87.6" customHeight="1" x14ac:dyDescent="0.25">
      <c r="A6" s="7" t="s">
        <v>128</v>
      </c>
      <c r="B6" s="7" t="s">
        <v>124</v>
      </c>
      <c r="C6" s="7" t="s">
        <v>127</v>
      </c>
      <c r="D6" s="7" t="s">
        <v>126</v>
      </c>
      <c r="E6" s="7" t="s">
        <v>148</v>
      </c>
      <c r="F6" s="7" t="s">
        <v>125</v>
      </c>
      <c r="G6" s="7" t="s">
        <v>123</v>
      </c>
      <c r="H6" s="7"/>
    </row>
    <row r="7" spans="1:8" ht="138" customHeight="1" x14ac:dyDescent="0.25">
      <c r="A7" s="7" t="s">
        <v>129</v>
      </c>
      <c r="B7" s="19" t="s">
        <v>130</v>
      </c>
      <c r="C7" s="7" t="s">
        <v>33</v>
      </c>
      <c r="D7" s="7" t="s">
        <v>131</v>
      </c>
      <c r="E7" s="7" t="s">
        <v>149</v>
      </c>
      <c r="F7" s="20" t="s">
        <v>218</v>
      </c>
      <c r="G7" s="7" t="s">
        <v>132</v>
      </c>
    </row>
    <row r="8" spans="1:8" ht="83.4" customHeight="1" x14ac:dyDescent="0.25">
      <c r="A8" s="7" t="s">
        <v>150</v>
      </c>
      <c r="B8" s="25" t="s">
        <v>47</v>
      </c>
      <c r="C8" s="19" t="s">
        <v>33</v>
      </c>
      <c r="D8" s="20" t="s">
        <v>156</v>
      </c>
      <c r="E8" s="25" t="s">
        <v>157</v>
      </c>
      <c r="F8" s="25" t="s">
        <v>158</v>
      </c>
      <c r="G8" s="26" t="s">
        <v>219</v>
      </c>
      <c r="H8" s="7"/>
    </row>
    <row r="9" spans="1:8" ht="79.95" customHeight="1" x14ac:dyDescent="0.25">
      <c r="A9" s="7" t="s">
        <v>151</v>
      </c>
      <c r="B9" s="25" t="s">
        <v>159</v>
      </c>
      <c r="C9" s="19" t="s">
        <v>33</v>
      </c>
      <c r="D9" s="25" t="s">
        <v>160</v>
      </c>
      <c r="E9" s="25" t="s">
        <v>161</v>
      </c>
      <c r="F9" s="25" t="s">
        <v>162</v>
      </c>
      <c r="G9" s="25" t="s">
        <v>220</v>
      </c>
      <c r="H9" s="7"/>
    </row>
    <row r="10" spans="1:8" ht="93.6" customHeight="1" x14ac:dyDescent="0.25">
      <c r="A10" s="7" t="s">
        <v>152</v>
      </c>
      <c r="B10" s="25" t="s">
        <v>45</v>
      </c>
      <c r="C10" s="25" t="s">
        <v>163</v>
      </c>
      <c r="D10" s="25" t="s">
        <v>164</v>
      </c>
      <c r="E10" s="25" t="s">
        <v>165</v>
      </c>
      <c r="F10" s="25" t="s">
        <v>166</v>
      </c>
      <c r="G10" s="25" t="s">
        <v>221</v>
      </c>
      <c r="H10" s="7"/>
    </row>
    <row r="11" spans="1:8" ht="149.4" customHeight="1" x14ac:dyDescent="0.25">
      <c r="A11" s="25" t="s">
        <v>153</v>
      </c>
      <c r="B11" s="25" t="s">
        <v>47</v>
      </c>
      <c r="C11" s="25" t="s">
        <v>186</v>
      </c>
      <c r="D11" s="25" t="s">
        <v>187</v>
      </c>
      <c r="E11" s="25" t="s">
        <v>188</v>
      </c>
      <c r="F11" s="25" t="s">
        <v>189</v>
      </c>
      <c r="G11" s="25" t="s">
        <v>190</v>
      </c>
      <c r="H11" s="7"/>
    </row>
    <row r="12" spans="1:8" ht="127.8" customHeight="1" x14ac:dyDescent="0.25">
      <c r="A12" s="7" t="s">
        <v>154</v>
      </c>
      <c r="B12" s="25" t="s">
        <v>47</v>
      </c>
      <c r="C12" s="25" t="s">
        <v>171</v>
      </c>
      <c r="D12" s="25" t="s">
        <v>172</v>
      </c>
      <c r="E12" s="25" t="s">
        <v>173</v>
      </c>
      <c r="F12" s="25" t="s">
        <v>174</v>
      </c>
      <c r="G12" s="25" t="s">
        <v>175</v>
      </c>
      <c r="H12" s="7"/>
    </row>
    <row r="13" spans="1:8" ht="139.19999999999999" customHeight="1" x14ac:dyDescent="0.25">
      <c r="A13" s="7" t="s">
        <v>155</v>
      </c>
      <c r="B13" s="25" t="s">
        <v>45</v>
      </c>
      <c r="C13" s="25" t="s">
        <v>195</v>
      </c>
      <c r="D13" s="25" t="s">
        <v>196</v>
      </c>
      <c r="E13" s="25" t="s">
        <v>197</v>
      </c>
      <c r="F13" s="25" t="s">
        <v>198</v>
      </c>
      <c r="G13" s="25" t="s">
        <v>199</v>
      </c>
      <c r="H13" s="7"/>
    </row>
    <row r="14" spans="1:8" ht="171.6" customHeight="1" x14ac:dyDescent="0.25">
      <c r="A14" s="7" t="s">
        <v>206</v>
      </c>
      <c r="B14" s="25" t="s">
        <v>45</v>
      </c>
      <c r="C14" s="25" t="s">
        <v>176</v>
      </c>
      <c r="D14" s="25" t="s">
        <v>177</v>
      </c>
      <c r="E14" s="25" t="s">
        <v>178</v>
      </c>
      <c r="F14" s="25" t="s">
        <v>179</v>
      </c>
      <c r="G14" s="25" t="s">
        <v>180</v>
      </c>
      <c r="H14" s="7"/>
    </row>
    <row r="15" spans="1:8" ht="144" customHeight="1" x14ac:dyDescent="0.25">
      <c r="A15" s="7" t="s">
        <v>207</v>
      </c>
      <c r="B15" s="25" t="s">
        <v>47</v>
      </c>
      <c r="C15" s="25" t="s">
        <v>191</v>
      </c>
      <c r="D15" s="25" t="s">
        <v>192</v>
      </c>
      <c r="E15" s="25" t="s">
        <v>193</v>
      </c>
      <c r="F15" s="25" t="s">
        <v>194</v>
      </c>
      <c r="G15" s="25" t="s">
        <v>205</v>
      </c>
      <c r="H15" s="7"/>
    </row>
    <row r="16" spans="1:8" ht="163.19999999999999" customHeight="1" x14ac:dyDescent="0.25">
      <c r="A16" s="7" t="s">
        <v>208</v>
      </c>
      <c r="B16" s="25" t="s">
        <v>45</v>
      </c>
      <c r="C16" s="25" t="s">
        <v>181</v>
      </c>
      <c r="D16" s="25" t="s">
        <v>182</v>
      </c>
      <c r="E16" s="25" t="s">
        <v>183</v>
      </c>
      <c r="F16" s="25" t="s">
        <v>184</v>
      </c>
      <c r="G16" s="25" t="s">
        <v>185</v>
      </c>
      <c r="H16" s="7"/>
    </row>
    <row r="17" spans="1:8" ht="187.8" customHeight="1" x14ac:dyDescent="0.25">
      <c r="A17" s="7" t="s">
        <v>209</v>
      </c>
      <c r="B17" s="25" t="s">
        <v>47</v>
      </c>
      <c r="C17" s="25" t="s">
        <v>200</v>
      </c>
      <c r="D17" s="25" t="s">
        <v>201</v>
      </c>
      <c r="E17" s="25" t="s">
        <v>202</v>
      </c>
      <c r="F17" s="25" t="s">
        <v>203</v>
      </c>
      <c r="G17" s="25" t="s">
        <v>204</v>
      </c>
      <c r="H17" s="7"/>
    </row>
    <row r="18" spans="1:8" ht="131.4" customHeight="1" x14ac:dyDescent="0.25">
      <c r="A18" s="29"/>
      <c r="B18" s="19"/>
      <c r="C18" s="19"/>
      <c r="D18" s="19"/>
      <c r="E18" s="19"/>
      <c r="F18" s="19"/>
      <c r="G18" s="19"/>
      <c r="H18" s="7"/>
    </row>
    <row r="19" spans="1:8" ht="151.80000000000001" customHeight="1" x14ac:dyDescent="0.25">
      <c r="A19" s="19"/>
      <c r="B19" s="19"/>
      <c r="C19" s="19"/>
      <c r="D19" s="19"/>
      <c r="E19" s="19"/>
      <c r="F19" s="19"/>
      <c r="G19" s="19"/>
      <c r="H19" s="7"/>
    </row>
    <row r="20" spans="1:8" ht="160.19999999999999" customHeight="1" x14ac:dyDescent="0.25">
      <c r="A20" s="19"/>
      <c r="B20" s="19"/>
      <c r="C20" s="19"/>
      <c r="D20" s="19"/>
      <c r="E20" s="19"/>
      <c r="F20" s="19"/>
      <c r="G20" s="19"/>
      <c r="H20" s="7"/>
    </row>
    <row r="21" spans="1:8" ht="79.95" customHeight="1" x14ac:dyDescent="0.25">
      <c r="A21" s="7"/>
      <c r="B21" s="7"/>
      <c r="C21" s="7"/>
      <c r="D21" s="7"/>
      <c r="E21" s="7"/>
      <c r="F21" s="7"/>
      <c r="G21" s="7"/>
      <c r="H21" s="7"/>
    </row>
    <row r="22" spans="1:8" ht="79.95" customHeight="1" x14ac:dyDescent="0.25">
      <c r="A22" s="7"/>
      <c r="B22" s="7"/>
      <c r="C22" s="7"/>
      <c r="D22" s="7"/>
      <c r="E22" s="7"/>
      <c r="F22" s="7"/>
      <c r="G22" s="7"/>
      <c r="H22" s="7"/>
    </row>
    <row r="23" spans="1:8" ht="79.95" customHeight="1" x14ac:dyDescent="0.25">
      <c r="A23" s="7"/>
      <c r="B23" s="7"/>
      <c r="C23" s="7"/>
      <c r="D23" s="7"/>
      <c r="E23" s="7"/>
      <c r="F23" s="7"/>
      <c r="G23" s="7"/>
      <c r="H23" s="7"/>
    </row>
    <row r="24" spans="1:8" ht="79.95" customHeight="1" x14ac:dyDescent="0.25">
      <c r="A24" s="7"/>
      <c r="B24" s="7"/>
      <c r="C24" s="7"/>
      <c r="D24" s="7"/>
      <c r="E24" s="7"/>
      <c r="F24" s="7"/>
      <c r="G24" s="7"/>
      <c r="H24" s="7"/>
    </row>
    <row r="25" spans="1:8" ht="79.95" customHeight="1" x14ac:dyDescent="0.25">
      <c r="A25" s="7"/>
      <c r="B25" s="7"/>
      <c r="C25" s="7"/>
      <c r="D25" s="7"/>
      <c r="E25" s="7"/>
      <c r="F25" s="7"/>
      <c r="G25" s="7"/>
      <c r="H25" s="7"/>
    </row>
    <row r="26" spans="1:8" ht="79.95" customHeight="1" x14ac:dyDescent="0.25">
      <c r="A26" s="7"/>
      <c r="B26" s="7"/>
      <c r="C26" s="7"/>
      <c r="D26" s="7"/>
      <c r="E26" s="7"/>
      <c r="F26" s="7"/>
      <c r="G26" s="7"/>
      <c r="H26" s="7"/>
    </row>
  </sheetData>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7" workbookViewId="0">
      <selection activeCell="A5" sqref="A5:XFD5"/>
    </sheetView>
  </sheetViews>
  <sheetFormatPr defaultRowHeight="13.8" x14ac:dyDescent="0.25"/>
  <cols>
    <col min="1" max="1" width="12" customWidth="1"/>
    <col min="2" max="2" width="22" customWidth="1"/>
    <col min="3" max="3" width="35" customWidth="1"/>
    <col min="4" max="4" width="35.296875" customWidth="1"/>
    <col min="5" max="5" width="41.59765625" customWidth="1"/>
    <col min="6" max="6" width="32.5" customWidth="1"/>
  </cols>
  <sheetData>
    <row r="1" spans="1:6" x14ac:dyDescent="0.25">
      <c r="A1" s="35" t="s">
        <v>49</v>
      </c>
      <c r="B1" s="32"/>
      <c r="C1" s="32"/>
      <c r="D1" s="32"/>
      <c r="E1" s="32"/>
      <c r="F1" s="32"/>
    </row>
    <row r="2" spans="1:6" x14ac:dyDescent="0.25">
      <c r="A2" s="34" t="s">
        <v>50</v>
      </c>
      <c r="B2" s="32"/>
      <c r="C2" s="32"/>
      <c r="D2" s="32"/>
      <c r="E2" s="32"/>
      <c r="F2" s="32"/>
    </row>
    <row r="3" spans="1:6" ht="40.049999999999997" customHeight="1" x14ac:dyDescent="0.25">
      <c r="A3" s="6" t="s">
        <v>51</v>
      </c>
      <c r="B3" s="6" t="s">
        <v>52</v>
      </c>
      <c r="C3" s="6" t="s">
        <v>53</v>
      </c>
      <c r="D3" s="6" t="s">
        <v>54</v>
      </c>
      <c r="E3" s="6" t="s">
        <v>55</v>
      </c>
      <c r="F3" s="6" t="s">
        <v>56</v>
      </c>
    </row>
    <row r="4" spans="1:6" ht="69.599999999999994" customHeight="1" x14ac:dyDescent="0.25">
      <c r="A4" s="7" t="s">
        <v>118</v>
      </c>
      <c r="B4" s="7" t="s">
        <v>133</v>
      </c>
      <c r="C4" s="7" t="s">
        <v>134</v>
      </c>
      <c r="D4" s="7" t="s">
        <v>135</v>
      </c>
      <c r="E4" s="7" t="s">
        <v>136</v>
      </c>
      <c r="F4" s="7" t="s">
        <v>137</v>
      </c>
    </row>
    <row r="5" spans="1:6" ht="61.8" customHeight="1" x14ac:dyDescent="0.25">
      <c r="A5" s="7" t="s">
        <v>128</v>
      </c>
      <c r="B5" s="7" t="s">
        <v>138</v>
      </c>
      <c r="C5" s="7" t="s">
        <v>139</v>
      </c>
      <c r="D5" s="7" t="s">
        <v>140</v>
      </c>
      <c r="E5" s="7" t="s">
        <v>141</v>
      </c>
      <c r="F5" s="7" t="s">
        <v>142</v>
      </c>
    </row>
    <row r="6" spans="1:6" ht="115.8" customHeight="1" x14ac:dyDescent="0.25">
      <c r="A6" s="23" t="s">
        <v>154</v>
      </c>
      <c r="B6" s="21" t="s">
        <v>64</v>
      </c>
      <c r="C6" s="7" t="s">
        <v>167</v>
      </c>
      <c r="D6" s="7" t="s">
        <v>168</v>
      </c>
      <c r="E6" s="7" t="s">
        <v>169</v>
      </c>
      <c r="F6" s="7" t="s">
        <v>170</v>
      </c>
    </row>
    <row r="7" spans="1:6" ht="86.4" customHeight="1" x14ac:dyDescent="0.25">
      <c r="A7" s="24" t="s">
        <v>129</v>
      </c>
      <c r="B7" s="21" t="s">
        <v>64</v>
      </c>
      <c r="C7" s="7" t="s">
        <v>210</v>
      </c>
      <c r="D7" s="7" t="s">
        <v>211</v>
      </c>
      <c r="E7" s="22" t="s">
        <v>212</v>
      </c>
      <c r="F7" s="7" t="s">
        <v>213</v>
      </c>
    </row>
    <row r="8" spans="1:6" ht="112.8" customHeight="1" x14ac:dyDescent="0.25">
      <c r="A8" s="27" t="s">
        <v>153</v>
      </c>
      <c r="B8" s="27" t="s">
        <v>73</v>
      </c>
      <c r="C8" s="27" t="s">
        <v>214</v>
      </c>
      <c r="D8" s="27" t="s">
        <v>215</v>
      </c>
      <c r="E8" s="27" t="s">
        <v>216</v>
      </c>
      <c r="F8" s="27" t="s">
        <v>217</v>
      </c>
    </row>
    <row r="9" spans="1:6" ht="97.8" customHeight="1" x14ac:dyDescent="0.25">
      <c r="A9" s="28"/>
      <c r="B9" s="28"/>
      <c r="C9" s="28"/>
      <c r="D9" s="28"/>
      <c r="E9" s="28"/>
      <c r="F9" s="28"/>
    </row>
    <row r="10" spans="1:6" ht="109.8" customHeight="1" x14ac:dyDescent="0.25"/>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x14ac:dyDescent="0.3">
      <c r="A30" s="1" t="s">
        <v>58</v>
      </c>
    </row>
    <row r="31" spans="1:6" x14ac:dyDescent="0.25">
      <c r="A31" s="10" t="s">
        <v>59</v>
      </c>
      <c r="B31" s="10" t="s">
        <v>60</v>
      </c>
      <c r="C31" s="10" t="s">
        <v>61</v>
      </c>
    </row>
    <row r="32" spans="1:6" ht="27.6" x14ac:dyDescent="0.25">
      <c r="A32" s="7" t="s">
        <v>57</v>
      </c>
      <c r="B32" s="7" t="s">
        <v>62</v>
      </c>
      <c r="C32" s="7" t="s">
        <v>63</v>
      </c>
    </row>
    <row r="33" spans="1:3" ht="27.6" x14ac:dyDescent="0.25">
      <c r="A33" s="7" t="s">
        <v>64</v>
      </c>
      <c r="B33" s="7" t="s">
        <v>65</v>
      </c>
      <c r="C33" s="7" t="s">
        <v>66</v>
      </c>
    </row>
    <row r="34" spans="1:3" ht="27.6" x14ac:dyDescent="0.25">
      <c r="A34" s="7" t="s">
        <v>67</v>
      </c>
      <c r="B34" s="7" t="s">
        <v>68</v>
      </c>
      <c r="C34" s="7" t="s">
        <v>69</v>
      </c>
    </row>
    <row r="35" spans="1:3" ht="27.6" x14ac:dyDescent="0.25">
      <c r="A35" s="7" t="s">
        <v>70</v>
      </c>
      <c r="B35" s="7" t="s">
        <v>71</v>
      </c>
      <c r="C35" s="7" t="s">
        <v>72</v>
      </c>
    </row>
    <row r="36" spans="1:3" ht="41.4" x14ac:dyDescent="0.25">
      <c r="A36" s="7" t="s">
        <v>73</v>
      </c>
      <c r="B36" s="7" t="s">
        <v>74</v>
      </c>
      <c r="C36" s="7" t="s">
        <v>75</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3.8" x14ac:dyDescent="0.25"/>
  <cols>
    <col min="1" max="1" width="8" customWidth="1"/>
    <col min="2" max="2" width="60" customWidth="1"/>
    <col min="3" max="3" width="10" customWidth="1"/>
    <col min="4" max="4" width="30" customWidth="1"/>
  </cols>
  <sheetData>
    <row r="1" spans="1:4" x14ac:dyDescent="0.25">
      <c r="A1" s="33" t="s">
        <v>76</v>
      </c>
      <c r="B1" s="32"/>
      <c r="C1" s="32"/>
      <c r="D1" s="32"/>
    </row>
    <row r="2" spans="1:4" x14ac:dyDescent="0.25">
      <c r="A2" s="36" t="s">
        <v>77</v>
      </c>
      <c r="B2" s="32"/>
      <c r="C2" s="32"/>
      <c r="D2" s="32"/>
    </row>
    <row r="4" spans="1:4" ht="17.399999999999999" x14ac:dyDescent="0.3">
      <c r="A4" s="1" t="s">
        <v>78</v>
      </c>
    </row>
    <row r="5" spans="1:4" x14ac:dyDescent="0.25">
      <c r="A5" s="6" t="s">
        <v>79</v>
      </c>
      <c r="B5" s="11" t="s">
        <v>80</v>
      </c>
      <c r="C5" s="6" t="s">
        <v>81</v>
      </c>
      <c r="D5" s="11" t="s">
        <v>82</v>
      </c>
    </row>
    <row r="6" spans="1:4" x14ac:dyDescent="0.25">
      <c r="A6" s="12" t="s">
        <v>83</v>
      </c>
      <c r="B6" s="13" t="s">
        <v>84</v>
      </c>
      <c r="C6" s="12" t="s">
        <v>85</v>
      </c>
      <c r="D6" s="13"/>
    </row>
    <row r="7" spans="1:4" x14ac:dyDescent="0.25">
      <c r="A7" s="12" t="s">
        <v>86</v>
      </c>
      <c r="B7" s="13" t="s">
        <v>87</v>
      </c>
      <c r="C7" s="12" t="s">
        <v>85</v>
      </c>
      <c r="D7" s="13"/>
    </row>
    <row r="8" spans="1:4" x14ac:dyDescent="0.25">
      <c r="A8" s="12" t="s">
        <v>88</v>
      </c>
      <c r="B8" s="13" t="s">
        <v>89</v>
      </c>
      <c r="C8" s="12" t="s">
        <v>85</v>
      </c>
      <c r="D8" s="13"/>
    </row>
    <row r="9" spans="1:4" x14ac:dyDescent="0.25">
      <c r="A9" s="12" t="s">
        <v>90</v>
      </c>
      <c r="B9" s="13" t="s">
        <v>91</v>
      </c>
      <c r="C9" s="12" t="s">
        <v>85</v>
      </c>
      <c r="D9" s="13"/>
    </row>
    <row r="10" spans="1:4" x14ac:dyDescent="0.25">
      <c r="A10" s="12" t="s">
        <v>92</v>
      </c>
      <c r="B10" s="13" t="s">
        <v>93</v>
      </c>
      <c r="C10" s="12" t="s">
        <v>85</v>
      </c>
      <c r="D10" s="13"/>
    </row>
    <row r="12" spans="1:4" ht="17.399999999999999" x14ac:dyDescent="0.3">
      <c r="A12" s="1" t="s">
        <v>94</v>
      </c>
    </row>
    <row r="13" spans="1:4" x14ac:dyDescent="0.25">
      <c r="A13" s="6" t="s">
        <v>79</v>
      </c>
      <c r="B13" s="11" t="s">
        <v>80</v>
      </c>
      <c r="C13" s="6" t="s">
        <v>81</v>
      </c>
      <c r="D13" s="11" t="s">
        <v>95</v>
      </c>
    </row>
    <row r="14" spans="1:4" x14ac:dyDescent="0.25">
      <c r="A14" s="12" t="s">
        <v>83</v>
      </c>
      <c r="B14" s="13" t="s">
        <v>96</v>
      </c>
      <c r="C14" s="12" t="s">
        <v>85</v>
      </c>
      <c r="D14" s="13"/>
    </row>
    <row r="15" spans="1:4" x14ac:dyDescent="0.25">
      <c r="A15" s="12" t="s">
        <v>86</v>
      </c>
      <c r="B15" s="13" t="s">
        <v>97</v>
      </c>
      <c r="C15" s="12" t="s">
        <v>85</v>
      </c>
      <c r="D15" s="13"/>
    </row>
    <row r="16" spans="1:4" x14ac:dyDescent="0.25">
      <c r="A16" s="12" t="s">
        <v>88</v>
      </c>
      <c r="B16" s="13" t="s">
        <v>98</v>
      </c>
      <c r="C16" s="12" t="s">
        <v>85</v>
      </c>
      <c r="D16" s="13"/>
    </row>
    <row r="17" spans="1:4" x14ac:dyDescent="0.25">
      <c r="A17" s="12" t="s">
        <v>90</v>
      </c>
      <c r="B17" s="13" t="s">
        <v>99</v>
      </c>
      <c r="C17" s="12" t="s">
        <v>85</v>
      </c>
      <c r="D17" s="13"/>
    </row>
    <row r="18" spans="1:4" x14ac:dyDescent="0.25">
      <c r="A18" s="12" t="s">
        <v>92</v>
      </c>
      <c r="B18" s="13" t="s">
        <v>100</v>
      </c>
      <c r="C18" s="12" t="s">
        <v>85</v>
      </c>
      <c r="D18" s="13"/>
    </row>
    <row r="20" spans="1:4" ht="15.6" x14ac:dyDescent="0.3">
      <c r="A20" s="14" t="s">
        <v>101</v>
      </c>
    </row>
    <row r="21" spans="1:4" x14ac:dyDescent="0.25">
      <c r="A21" s="15" t="s">
        <v>102</v>
      </c>
    </row>
    <row r="22" spans="1:4" x14ac:dyDescent="0.25">
      <c r="A22" s="15" t="s">
        <v>103</v>
      </c>
    </row>
    <row r="25" spans="1:4" ht="17.399999999999999" x14ac:dyDescent="0.3">
      <c r="A25" s="1" t="s">
        <v>104</v>
      </c>
    </row>
    <row r="26" spans="1:4" x14ac:dyDescent="0.25">
      <c r="A26" s="16" t="s">
        <v>105</v>
      </c>
    </row>
    <row r="27" spans="1:4" ht="55.2" x14ac:dyDescent="0.25">
      <c r="A27" s="17" t="s">
        <v>36</v>
      </c>
      <c r="B27" s="10" t="s">
        <v>106</v>
      </c>
      <c r="C27" s="10" t="s">
        <v>107</v>
      </c>
      <c r="D27" s="10" t="s">
        <v>108</v>
      </c>
    </row>
    <row r="28" spans="1:4" x14ac:dyDescent="0.25">
      <c r="A28" s="9" t="s">
        <v>44</v>
      </c>
      <c r="B28" s="7"/>
      <c r="C28" s="7"/>
      <c r="D28" s="7"/>
    </row>
    <row r="29" spans="1:4" x14ac:dyDescent="0.25">
      <c r="A29" s="9" t="s">
        <v>46</v>
      </c>
      <c r="B29" s="7"/>
      <c r="C29" s="7"/>
      <c r="D29" s="7"/>
    </row>
    <row r="30" spans="1:4" x14ac:dyDescent="0.25">
      <c r="A30" s="9" t="s">
        <v>48</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Huy Dinh Do Gia</cp:lastModifiedBy>
  <dcterms:created xsi:type="dcterms:W3CDTF">2026-05-07T22:28:42Z</dcterms:created>
  <dcterms:modified xsi:type="dcterms:W3CDTF">2026-06-30T01:59:22Z</dcterms:modified>
</cp:coreProperties>
</file>