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1fa7e4f6244850e5/Documents/"/>
    </mc:Choice>
  </mc:AlternateContent>
  <xr:revisionPtr revIDLastSave="151" documentId="8_{FD2035C8-3A53-4D6D-9744-B87FE200314B}" xr6:coauthVersionLast="47" xr6:coauthVersionMax="47" xr10:uidLastSave="{E8194655-53A0-462B-8099-1F2E46C5BADC}"/>
  <bookViews>
    <workbookView xWindow="-108" yWindow="-108" windowWidth="23256" windowHeight="12456" firstSheet="1" activeTab="2" xr2:uid="{00000000-000D-0000-FFFF-FFFF00000000}"/>
  </bookViews>
  <sheets>
    <sheet name="1. Metadata &amp; Summary" sheetId="1" r:id="rId1"/>
    <sheet name="2. Detailed Audit Log" sheetId="2" r:id="rId2"/>
    <sheet name="3. Hallucination Detection" sheetId="3" r:id="rId3"/>
    <sheet name="4. Self-Assessment Checklis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1" l="1"/>
</calcChain>
</file>

<file path=xl/sharedStrings.xml><?xml version="1.0" encoding="utf-8"?>
<sst xmlns="http://schemas.openxmlformats.org/spreadsheetml/2006/main" count="242" uniqueCount="200">
  <si>
    <t>AI AUDIT LOG - METADATA &amp; SUMMARY</t>
  </si>
  <si>
    <t>STUDENT INFORMATION</t>
  </si>
  <si>
    <t>Student Name:</t>
  </si>
  <si>
    <t>Student ID:</t>
  </si>
  <si>
    <t>Course:</t>
  </si>
  <si>
    <t>Assignment:</t>
  </si>
  <si>
    <t>AI USAGE SUMMARY</t>
  </si>
  <si>
    <t>Total Prompts Used (all AI tools):</t>
  </si>
  <si>
    <t>Core Prompts Logged:</t>
  </si>
  <si>
    <t>Selection Ratio:</t>
  </si>
  <si>
    <t>Should be 10-20%</t>
  </si>
  <si>
    <t>Hallucination Detected:</t>
  </si>
  <si>
    <t>[Count]</t>
  </si>
  <si>
    <t>AI TOOLS USED</t>
  </si>
  <si>
    <t>AI Tool</t>
  </si>
  <si>
    <t>Purpose</t>
  </si>
  <si>
    <t>Frequency</t>
  </si>
  <si>
    <t>Main Value</t>
  </si>
  <si>
    <t>ChatGPT</t>
  </si>
  <si>
    <t>Code generation, debugging</t>
  </si>
  <si>
    <t>High</t>
  </si>
  <si>
    <t>Rapid prototyping</t>
  </si>
  <si>
    <t>Claude</t>
  </si>
  <si>
    <t>Requirement analysis, design review</t>
  </si>
  <si>
    <t>Medium</t>
  </si>
  <si>
    <t>Deep reflection</t>
  </si>
  <si>
    <t>GitHub Copilot</t>
  </si>
  <si>
    <t>Auto-completion</t>
  </si>
  <si>
    <t>Speed up coding</t>
  </si>
  <si>
    <t>[Add more...]</t>
  </si>
  <si>
    <t>CORE PROMPTS DISTRIBUTION BY DTC COMPONENT</t>
  </si>
  <si>
    <t>DTC Component</t>
  </si>
  <si>
    <t>Number of Prompts</t>
  </si>
  <si>
    <t>Required (Min)</t>
  </si>
  <si>
    <t>Decomposition</t>
  </si>
  <si>
    <t>≥ 1</t>
  </si>
  <si>
    <t>Pattern Recognition</t>
  </si>
  <si>
    <t>Abstraction</t>
  </si>
  <si>
    <t>Algorithms</t>
  </si>
  <si>
    <t>DETAILED AI AUDIT LOG</t>
  </si>
  <si>
    <t>INSTRUCTIONS: Chỉ ghi CORE PROMPTS (Decision/Problem-Solving/Verification). Mỗi entry phải trả lời đầy đủ 4 câu hỏi trong Human Delta.</t>
  </si>
  <si>
    <t>Entry #</t>
  </si>
  <si>
    <t>Prompt Type</t>
  </si>
  <si>
    <t>Stage/Component</t>
  </si>
  <si>
    <t>Problem/Context</t>
  </si>
  <si>
    <t>Prompt to AI</t>
  </si>
  <si>
    <t>AI Response (Summary)</t>
  </si>
  <si>
    <t>Human Delta &amp; Reflection</t>
  </si>
  <si>
    <t>Evidence</t>
  </si>
  <si>
    <t>001</t>
  </si>
  <si>
    <t>DECISION</t>
  </si>
  <si>
    <t>Cần chia nhỏ requirement</t>
  </si>
  <si>
    <t>Break down student management into modules</t>
  </si>
  <si>
    <t>AI suggested 10 modules: User, Student, Course, Grade, Attendance, Report, Export, Import, Settings, Dashboard</t>
  </si>
  <si>
    <t>Critical Thinking: 10 modules quá nhiều cho project 300 LOC.
Contextualization: Project scope nhỏ, chỉ cần core functions.
Creative Synthesis: Tôi gộp thành 5 modules: Student, Grade, File I/O, Validation, UI.
Decision: Chọn 5 modules vì đủ để implement requirements mà không phức tạp.</t>
  </si>
  <si>
    <t>Screenshot comparison 10 vs 5</t>
  </si>
  <si>
    <t>002</t>
  </si>
  <si>
    <t>PROBLEM-SOLVING</t>
  </si>
  <si>
    <t>Search by name quá chậm với 10K records</t>
  </si>
  <si>
    <t>How to optimize search for player name in 10,000 records?</t>
  </si>
  <si>
    <t>AI suggested Binary Search with O(log n) complexity</t>
  </si>
  <si>
    <t>Critical Thinking: Binary Search cần sort trước → O(n log n). Với partial match không phù hợp.
Contextualization: Requirements yêu cầu partial name search.
Creative Synthesis: Test 3 approaches: Binary Search, Linear Search, HashMap. HashMap fastest (2ms).
Decision: Chọn HashMap trade-off memory cho speed.</t>
  </si>
  <si>
    <t>Code snippet + timing comparison</t>
  </si>
  <si>
    <t>003</t>
  </si>
  <si>
    <t>VERIFICATION</t>
  </si>
  <si>
    <t>Literature Review</t>
  </si>
  <si>
    <t>Cần verify paper AI cite</t>
  </si>
  <si>
    <t>Is the paper 'Smith et al. 2023 on IoT anomaly detection' a real publication?</t>
  </si>
  <si>
    <t>AI confirmed it exists and provided summary</t>
  </si>
  <si>
    <t>Critical Thinking: HALLUCINATION DETECTED! Search Google Scholar → paper NOT FOUND.
Contextualization: AI fabricated paper to answer my question.
Creative Synthesis: Found real paper 'Jones et al. 2022' with similar topic.
Decision: Replace with verified paper from Google Scholar.</t>
  </si>
  <si>
    <t>Google Scholar screenshot</t>
  </si>
  <si>
    <t>HALLUCINATION DETECTION LOG (BẮT BUỘC)</t>
  </si>
  <si>
    <t>MỖI PROJECT PHẢI PHÁT HIỆN ÍT NHẤT: Lab (≥1), Assignment (≥2), Project (≥3) cases hallucination</t>
  </si>
  <si>
    <t>Entry # (from Sheet 2)</t>
  </si>
  <si>
    <t>Hallucination Type</t>
  </si>
  <si>
    <t>AI's Claim</t>
  </si>
  <si>
    <t>Reality Check</t>
  </si>
  <si>
    <t>How Detected</t>
  </si>
  <si>
    <t>Corrective Action</t>
  </si>
  <si>
    <t>Fabrication</t>
  </si>
  <si>
    <t>Paper 'Smith et al. 2023' exists</t>
  </si>
  <si>
    <t>Paper NOT FOUND on Google Scholar</t>
  </si>
  <si>
    <t>Searched Google Scholar, ResearchGate</t>
  </si>
  <si>
    <t>Used real paper 'Jones et al. 2022'</t>
  </si>
  <si>
    <t>HALLUCINATION TYPES REFERENCE:</t>
  </si>
  <si>
    <t>Type</t>
  </si>
  <si>
    <t>Definition</t>
  </si>
  <si>
    <t>Example</t>
  </si>
  <si>
    <t>AI tạo ra thông tin không tồn tại</t>
  </si>
  <si>
    <t>Fake papers, fake APIs, fake data</t>
  </si>
  <si>
    <t>Oversimplification</t>
  </si>
  <si>
    <t>AI bỏ qua edge cases, exceptions</t>
  </si>
  <si>
    <t>Code không handle array rỗng</t>
  </si>
  <si>
    <t>Logic Error</t>
  </si>
  <si>
    <t>AI đưa kết luận sai về 'best practice'</t>
  </si>
  <si>
    <t>'XGBoost always best' → Sai</t>
  </si>
  <si>
    <t>Outdated Info</t>
  </si>
  <si>
    <t>AI dùng thông tin cũ, không còn đúng</t>
  </si>
  <si>
    <t>Old API syntax, deprecated methods</t>
  </si>
  <si>
    <t>Context Misunderstanding</t>
  </si>
  <si>
    <t>AI không hiểu đúng bối cảnh</t>
  </si>
  <si>
    <t>Không biết business constraints</t>
  </si>
  <si>
    <t>SELF-ASSESSMENT CHECKLIST (Trước khi nộp)</t>
  </si>
  <si>
    <t>Kiểm tra kỹ trước khi nộp. MỖI ENTRY phải pass ≥4/5 tiêu chí dưới đây.</t>
  </si>
  <si>
    <t>A. KIỂM TRA CHẤT LƯỢNG MỖI ENTRY (Pass ≥4/5)</t>
  </si>
  <si>
    <t>#</t>
  </si>
  <si>
    <t>Tiêu chí</t>
  </si>
  <si>
    <t>Pass?</t>
  </si>
  <si>
    <t>Note</t>
  </si>
  <si>
    <t>1</t>
  </si>
  <si>
    <t>Prompt này ảnh hưởng đến quyết định quan trọng trong project?</t>
  </si>
  <si>
    <t>☐</t>
  </si>
  <si>
    <t>2</t>
  </si>
  <si>
    <t>Nếu không có prompt này, project có thay đổi về architecture/design?</t>
  </si>
  <si>
    <t>3</t>
  </si>
  <si>
    <t>Tôi có thể giải thích lý do chọn/không chọn gợi ý của AI?</t>
  </si>
  <si>
    <t>4</t>
  </si>
  <si>
    <t>Có minh chứng cụ thể (code, metrics, comparison)?</t>
  </si>
  <si>
    <t>5</t>
  </si>
  <si>
    <t>Prompt này phản ánh tư duy phản biện, không chỉ copy AI?</t>
  </si>
  <si>
    <t>B. KIỂM TRA TỔNG THỂ LOG</t>
  </si>
  <si>
    <t>Current Value</t>
  </si>
  <si>
    <t>Số lượng entries nằm trong range (min-max)?</t>
  </si>
  <si>
    <t>Mỗi DTC component có ít nhất 1 core prompt?</t>
  </si>
  <si>
    <t>Đã phát hiện ≥ số lượng hallucination yêu cầu?</t>
  </si>
  <si>
    <t>Mỗi entry đều có Human Delta đầy đủ (4 câu hỏi)?</t>
  </si>
  <si>
    <t>Có evidence cho ≥70% entries?</t>
  </si>
  <si>
    <t>⚠️ LƯU Ý QUAN TRỌNG:</t>
  </si>
  <si>
    <t>Nếu entry KHÔNG pass ≥4/5 tiêu chí → LOẠI BỎ, không ghi vào Log</t>
  </si>
  <si>
    <t>Nếu FAIL ≥2 tiêu chí tổng thể → AI Reflection = 0 điểm (mất 30%)</t>
  </si>
  <si>
    <t>C. CHUẨN BỊ CHO ORAL VIVAS (Q&amp;A)</t>
  </si>
  <si>
    <t>Giảng viên sẽ hỏi ngẫu nhiên về 3-5 entries. Tự hỏi bản thân:</t>
  </si>
  <si>
    <t>Tôi có thể giải thích tại sao chọn approach này?</t>
  </si>
  <si>
    <t>Tôi có nhớ AI response?</t>
  </si>
  <si>
    <t>Tôi có evidence?</t>
  </si>
  <si>
    <t>Nguyễn Quốc Vương</t>
  </si>
  <si>
    <t>QE200066</t>
  </si>
  <si>
    <t>LAB211</t>
  </si>
  <si>
    <t>Employee Payroll Management Simulation</t>
  </si>
  <si>
    <t>100-130</t>
  </si>
  <si>
    <t>UML Design (Interface)</t>
  </si>
  <si>
    <t>Incorrect notation for the CsvRepository interface implementation relationship in the class diagram.</t>
  </si>
  <si>
    <t>The line has been broken.</t>
  </si>
  <si>
    <t>UML Class Diagram</t>
  </si>
  <si>
    <t>Explain that a dashed line is not enough, it is necessary to change the arrowhead to a hollow triangle ($\dashrightarrow \triangle$) to represent the Realization relationship.</t>
  </si>
  <si>
    <t>Critical Thinking: Recognized that the instructor was very strict in grading the Abstraction section (15%). Using the wrong arrowheads could lead to the diagram being misinterpreted as a Dependency relationship.
Decision: Correct all arrowheads in the Interface.</t>
  </si>
  <si>
    <t>UML Design (Inheritance)</t>
  </si>
  <si>
    <r>
      <t xml:space="preserve">Incorrect relationship notation for inheritance from child entities to the </t>
    </r>
    <r>
      <rPr>
        <sz val="10"/>
        <color theme="1"/>
        <rFont val="Arial Unicode MS"/>
      </rPr>
      <t>BaseEntity</t>
    </r>
    <r>
      <rPr>
        <sz val="11"/>
        <color theme="1"/>
        <rFont val="Calibri"/>
        <family val="2"/>
        <scheme val="minor"/>
      </rPr>
      <t xml:space="preserve"> parent class.</t>
    </r>
  </si>
  <si>
    <t>should I change these arrows to hollow triangles</t>
  </si>
  <si>
    <t>Confirmed it was correct and provided instructions on how to select the solid line "Block/Triangle" arrow head style in Draw.io.</t>
  </si>
  <si>
    <t>Critical Thinking: Identified the need for consistency in OOP. Inheritance must be represented by a solid line with a hollow triangle head ($\rightarrow \triangle$).Decision: Updated all arrows pointing to BaseEntity across the Model class group.</t>
  </si>
  <si>
    <t>Modified Model UML diagram</t>
  </si>
  <si>
    <t>Task checklist in the report</t>
  </si>
  <si>
    <t>Contextualization: The task specifically requires focusing on preventing "Double Payment."
Creative Synthesis: Concentrated heavily on implementing the version field in PayrollEntry instead of spreading efforts thin on other parts.</t>
  </si>
  <si>
    <t>Provided a 5-step workflow: Declare Enums $\rightarrow$ Implement Entities $\rightarrow$ Override CSV methods $\rightarrow$ Update UML $\rightarrow$ Collaborate with DataGenerator.</t>
  </si>
  <si>
    <t>what should I do for this task, list step by step</t>
  </si>
  <si>
    <t>Unclear about the actual code implementation steps derived from the UML diagram for Member 3's role.</t>
  </si>
  <si>
    <t>Requirements Analysis</t>
  </si>
  <si>
    <t>Project Architecture</t>
  </si>
  <si>
    <t>Decomposition / Packaging</t>
  </si>
  <si>
    <t>Unsure about the exact number of classes that need to be created in the code to satisfy the assignment requirements.</t>
  </si>
  <si>
    <r>
      <t xml:space="preserve">All newly created Java code files were left in the </t>
    </r>
    <r>
      <rPr>
        <sz val="10"/>
        <color theme="1"/>
        <rFont val="Arial Unicode MS"/>
      </rPr>
      <t>&lt;default package&gt;</t>
    </r>
    <r>
      <rPr>
        <sz val="11"/>
        <color theme="1"/>
        <rFont val="Calibri"/>
        <family val="2"/>
        <scheme val="minor"/>
      </rPr>
      <t xml:space="preserve"> and the package names violated standards.</t>
    </r>
  </si>
  <si>
    <t>how many classes should I create</t>
  </si>
  <si>
    <t>are these 5 classes correct</t>
  </si>
  <si>
    <t>Critical Thinking: The default package breaks encapsulation and prevents other team members from importing my code.
Decision: Created a clean hierarchical folder structure according to the MVC model.</t>
  </si>
  <si>
    <t>Critical Thinking: Without BaseEntity, the code would have duplicated id attributes across all 3 classes, violating the DRY (Don't Repeat Yourself) principle.
Decision: Immediately created BaseEntity.java as an abstract class.</t>
  </si>
  <si>
    <t>History of Gemini</t>
  </si>
  <si>
    <t>Specified that exactly 5 files need to be created, including 3 Entity Classes and 2 Enums.</t>
  </si>
  <si>
    <t>Warned that leaving files in the default package would lead to heavy point deductions under the Decomposition criteria and guided on moving them into the model package.</t>
  </si>
  <si>
    <t>Contextualization: Cross-checked with the task description file to group them accurately, avoiding the creation of redundant classes belonging to other members' modules.
Decision: Finalized the number of 5 core files for the payroll module.</t>
  </si>
  <si>
    <t>Missing a common parent class to manage identifiers despite having it designed in the UML diagram.</t>
  </si>
  <si>
    <t>anything else to fix</t>
  </si>
  <si>
    <t>Detected that the project was missing the BaseEntity.java file, which prevented child classes from using the extends keyword.</t>
  </si>
  <si>
    <t xml:space="preserve">Screenshot of the project directory tree </t>
  </si>
  <si>
    <t>IDE Manipulation</t>
  </si>
  <si>
    <t>Could not find the option to directly rename the &lt;default package&gt; in NetBeans.</t>
  </si>
  <si>
    <t>how to rename this default package</t>
  </si>
  <si>
    <t>Explained the IDE mechanism: the default package cannot be renamed; the only way is to create a new Package and drag-and-drop (Refactor) the files over.</t>
  </si>
  <si>
    <t>Contextualization: NetBeans automatically updates the package model; statement at the top of the files when Refactor is chosen.
Decision: Performed bulk drag-and-drop to let the IDE fix the code automatically, saving time.</t>
  </si>
  <si>
    <t>Scope Management</t>
  </si>
  <si>
    <t>Ambiguity about whether I have to write code for the View, Controller, and Repository layers myself.</t>
  </si>
  <si>
    <t>are these necessary for member 3's task..</t>
  </si>
  <si>
    <t>Clearly separated the scope: For coding, NO (it's other members' job); but on the team's master UML diagram, it is MANDATORY to draw them to show relationships.</t>
  </si>
  <si>
    <t>Contextualization: Avoided overstepping boundaries or overloading personal tasks while still ensuring the completeness of the system design documentation.
Decision: Only focused on writing code for the Model layer.</t>
  </si>
  <si>
    <t>Code Verification</t>
  </si>
  <si>
    <t>Needed to re-verify the project directory structure after multiple edits to check if it met the standard.</t>
  </si>
  <si>
    <t>is this okay now</t>
  </si>
  <si>
    <t>Confirmed the new structure was 100% standard, clearly separating model and model.enums.</t>
  </si>
  <si>
    <t>Contextualization: The code structure is now well-organized, preparing to move into the internal business logic implementation stage.
Decision: Locked the project directory structure and started writing detailed source code.</t>
  </si>
  <si>
    <t>Source code saved in .java files</t>
  </si>
  <si>
    <t>Over-scoping / Misdirection</t>
  </si>
  <si>
    <t>Fabrication (UI/Visual)</t>
  </si>
  <si>
    <r>
      <t xml:space="preserve">AI suggested creating and coding inside </t>
    </r>
    <r>
      <rPr>
        <sz val="10"/>
        <color theme="1"/>
        <rFont val="Arial Unicode MS"/>
      </rPr>
      <t>controller</t>
    </r>
    <r>
      <rPr>
        <sz val="11"/>
        <color theme="1"/>
        <rFont val="Calibri"/>
        <family val="2"/>
        <scheme val="minor"/>
      </rPr>
      <t xml:space="preserve">, </t>
    </r>
    <r>
      <rPr>
        <sz val="10"/>
        <color theme="1"/>
        <rFont val="Arial Unicode MS"/>
      </rPr>
      <t>view</t>
    </r>
    <r>
      <rPr>
        <sz val="11"/>
        <color theme="1"/>
        <rFont val="Calibri"/>
        <family val="2"/>
        <scheme val="minor"/>
      </rPr>
      <t xml:space="preserve">, and </t>
    </r>
    <r>
      <rPr>
        <sz val="10"/>
        <color theme="1"/>
        <rFont val="Arial Unicode MS"/>
      </rPr>
      <t>repository</t>
    </r>
    <r>
      <rPr>
        <sz val="11"/>
        <color theme="1"/>
        <rFont val="Calibri"/>
        <family val="2"/>
        <scheme val="minor"/>
      </rPr>
      <t xml:space="preserve"> packages for Member 3's task.</t>
    </r>
  </si>
  <si>
    <t>AI claimed to provide inline architectural diagrams and IDE menu screenshots using placeholders like ``.</t>
  </si>
  <si>
    <t>No actual images or visual screenshots were rendered or available in the text-based chat interface.</t>
  </si>
  <si>
    <t>Cross-checked with the assignment's official task allocation file and group agreement.</t>
  </si>
  <si>
    <t>Visually inspected the chat output and found only descriptive text placeholders instead of actual images.</t>
  </si>
  <si>
    <t>Rejected the coding advice for non-model layers, and only drew them on the UML diagram to show system relationships.</t>
  </si>
  <si>
    <t>Ignored the non-existent images and relied solely on the provided clean Java source code and text instructions.</t>
  </si>
  <si>
    <r>
      <t xml:space="preserve">only responsible for the </t>
    </r>
    <r>
      <rPr>
        <b/>
        <sz val="11"/>
        <color theme="1"/>
        <rFont val="Calibri"/>
        <family val="2"/>
        <scheme val="minor"/>
      </rPr>
      <t>Model</t>
    </r>
    <r>
      <rPr>
        <sz val="11"/>
        <color theme="1"/>
        <rFont val="Calibri"/>
        <family val="2"/>
        <scheme val="minor"/>
      </rPr>
      <t xml:space="preserve"> layer according to the project specifications; coding other layers would overlap with other members' duties.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</si>
</sst>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>
    <font>
      <sz val="11"/>
      <color theme="1"/>
      <name val="Calibri"/>
      <family val="2"/>
      <scheme val="minor"/>
    </font>
    <font>
      <b/>
      <sz val="16"/>
      <color rgb="FF2E75B6"/>
      <name val="Arial"/>
    </font>
    <font>
      <b/>
      <sz val="14"/>
      <color rgb="FF2E75B6"/>
      <name val="Arial"/>
    </font>
    <font>
      <b/>
      <sz val="11"/>
      <name val="Arial"/>
    </font>
    <font>
      <i/>
      <sz val="9"/>
      <color rgb="FF666666"/>
      <name val="Arial"/>
    </font>
    <font>
      <b/>
      <sz val="11"/>
      <color rgb="FFFFFFFF"/>
      <name val="Arial"/>
    </font>
    <font>
      <i/>
      <sz val="10"/>
      <color rgb="FF666666"/>
      <name val="Arial"/>
    </font>
    <font>
      <b/>
      <sz val="16"/>
      <color rgb="FFFF0000"/>
      <name val="Arial"/>
    </font>
    <font>
      <b/>
      <i/>
      <sz val="10"/>
      <color rgb="FFFF0000"/>
      <name val="Arial"/>
    </font>
    <font>
      <sz val="10"/>
      <name val="Arial"/>
    </font>
    <font>
      <b/>
      <sz val="12"/>
      <color rgb="FFFF0000"/>
      <name val="Arial"/>
    </font>
    <font>
      <sz val="11"/>
      <color rgb="FFFF0000"/>
      <name val="Arial"/>
    </font>
    <font>
      <i/>
      <sz val="10"/>
      <name val="Arial"/>
    </font>
    <font>
      <sz val="12"/>
      <color theme="1"/>
      <name val="Aptos"/>
      <family val="2"/>
    </font>
    <font>
      <sz val="10"/>
      <color theme="1"/>
      <name val="Arial Unicode MS"/>
    </font>
    <font>
      <i/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</fills>
  <borders count="6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/>
    <xf numFmtId="0" fontId="3" fillId="0" borderId="0" xfId="0" applyFont="1"/>
    <xf numFmtId="0" fontId="0" fillId="2" borderId="0" xfId="0" applyFill="1"/>
    <xf numFmtId="164" fontId="0" fillId="0" borderId="0" xfId="0" applyNumberFormat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top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3" fillId="4" borderId="1" xfId="0" applyFont="1" applyFill="1" applyBorder="1" applyAlignment="1">
      <alignment horizontal="center" vertical="center" wrapText="1"/>
    </xf>
    <xf numFmtId="16" fontId="0" fillId="2" borderId="0" xfId="0" applyNumberFormat="1" applyFill="1"/>
    <xf numFmtId="0" fontId="13" fillId="0" borderId="0" xfId="0" applyFont="1" applyAlignment="1">
      <alignment vertical="top"/>
    </xf>
    <xf numFmtId="0" fontId="13" fillId="0" borderId="2" xfId="0" applyFont="1" applyBorder="1" applyAlignment="1">
      <alignment horizontal="left" vertical="top" wrapText="1" indent="1"/>
    </xf>
    <xf numFmtId="0" fontId="13" fillId="0" borderId="0" xfId="0" applyFont="1"/>
    <xf numFmtId="0" fontId="0" fillId="0" borderId="0" xfId="0" applyAlignment="1">
      <alignment vertical="top" wrapText="1"/>
    </xf>
    <xf numFmtId="0" fontId="5" fillId="3" borderId="1" xfId="0" applyFont="1" applyFill="1" applyBorder="1" applyAlignment="1">
      <alignment horizontal="center" vertical="top" wrapText="1"/>
    </xf>
    <xf numFmtId="0" fontId="13" fillId="0" borderId="2" xfId="0" applyFont="1" applyBorder="1" applyAlignment="1">
      <alignment horizontal="left" vertical="top" wrapText="1"/>
    </xf>
    <xf numFmtId="0" fontId="13" fillId="0" borderId="0" xfId="0" applyFont="1" applyAlignment="1">
      <alignment horizontal="left" vertical="top" wrapText="1"/>
    </xf>
    <xf numFmtId="0" fontId="13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15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5" fillId="0" borderId="0" xfId="0" applyFont="1" applyAlignment="1">
      <alignment vertical="top"/>
    </xf>
    <xf numFmtId="0" fontId="0" fillId="0" borderId="4" xfId="0" applyBorder="1" applyAlignment="1">
      <alignment horizontal="left" vertical="center" wrapText="1" indent="1"/>
    </xf>
    <xf numFmtId="0" fontId="16" fillId="0" borderId="5" xfId="0" applyFont="1" applyBorder="1" applyAlignment="1">
      <alignment horizontal="left" vertical="center" wrapText="1" indent="1"/>
    </xf>
    <xf numFmtId="0" fontId="13" fillId="0" borderId="3" xfId="0" applyFont="1" applyBorder="1" applyAlignment="1">
      <alignment horizontal="left" vertical="top" wrapText="1" indent="1"/>
    </xf>
    <xf numFmtId="0" fontId="1" fillId="0" borderId="0" xfId="0" applyFont="1" applyAlignment="1">
      <alignment horizontal="center" vertical="center" wrapText="1"/>
    </xf>
    <xf numFmtId="0" fontId="0" fillId="0" borderId="0" xfId="0"/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0" fillId="0" borderId="2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7"/>
  <sheetViews>
    <sheetView workbookViewId="0">
      <selection activeCell="C11" sqref="C11"/>
    </sheetView>
  </sheetViews>
  <sheetFormatPr defaultRowHeight="14.4"/>
  <cols>
    <col min="1" max="1" width="25" customWidth="1"/>
    <col min="2" max="2" width="40" customWidth="1"/>
    <col min="3" max="3" width="15" customWidth="1"/>
    <col min="4" max="4" width="30" customWidth="1"/>
    <col min="5" max="6" width="20" customWidth="1"/>
  </cols>
  <sheetData>
    <row r="1" spans="1:6">
      <c r="A1" s="35" t="s">
        <v>0</v>
      </c>
      <c r="B1" s="36"/>
      <c r="C1" s="36"/>
      <c r="D1" s="36"/>
      <c r="E1" s="36"/>
      <c r="F1" s="36"/>
    </row>
    <row r="3" spans="1:6" ht="17.399999999999999">
      <c r="A3" s="1" t="s">
        <v>1</v>
      </c>
    </row>
    <row r="4" spans="1:6">
      <c r="A4" s="2" t="s">
        <v>2</v>
      </c>
      <c r="C4" t="s">
        <v>135</v>
      </c>
    </row>
    <row r="5" spans="1:6">
      <c r="A5" s="2" t="s">
        <v>3</v>
      </c>
      <c r="C5" t="s">
        <v>136</v>
      </c>
    </row>
    <row r="6" spans="1:6">
      <c r="A6" s="2" t="s">
        <v>4</v>
      </c>
      <c r="C6" t="s">
        <v>137</v>
      </c>
    </row>
    <row r="7" spans="1:6">
      <c r="A7" s="2" t="s">
        <v>5</v>
      </c>
      <c r="C7" t="s">
        <v>138</v>
      </c>
    </row>
    <row r="9" spans="1:6" ht="17.399999999999999">
      <c r="A9" s="1" t="s">
        <v>6</v>
      </c>
    </row>
    <row r="10" spans="1:6">
      <c r="A10" s="2" t="s">
        <v>7</v>
      </c>
      <c r="C10" t="s">
        <v>139</v>
      </c>
    </row>
    <row r="11" spans="1:6">
      <c r="A11" s="2" t="s">
        <v>8</v>
      </c>
      <c r="C11" s="18">
        <v>15</v>
      </c>
    </row>
    <row r="12" spans="1:6">
      <c r="A12" s="2" t="s">
        <v>9</v>
      </c>
      <c r="C12" s="4" t="e">
        <f>C11/C10</f>
        <v>#VALUE!</v>
      </c>
      <c r="E12" s="5" t="s">
        <v>10</v>
      </c>
    </row>
    <row r="13" spans="1:6">
      <c r="A13" s="2" t="s">
        <v>11</v>
      </c>
      <c r="C13" s="3" t="s">
        <v>12</v>
      </c>
    </row>
    <row r="15" spans="1:6" ht="17.399999999999999">
      <c r="A15" s="1" t="s">
        <v>13</v>
      </c>
    </row>
    <row r="16" spans="1:6">
      <c r="A16" s="6" t="s">
        <v>14</v>
      </c>
      <c r="B16" s="6" t="s">
        <v>15</v>
      </c>
      <c r="C16" s="6" t="s">
        <v>16</v>
      </c>
      <c r="D16" s="6" t="s">
        <v>17</v>
      </c>
    </row>
    <row r="17" spans="1:4">
      <c r="A17" s="7" t="s">
        <v>18</v>
      </c>
      <c r="B17" s="7" t="s">
        <v>19</v>
      </c>
      <c r="C17" s="7" t="s">
        <v>20</v>
      </c>
      <c r="D17" s="7" t="s">
        <v>21</v>
      </c>
    </row>
    <row r="18" spans="1:4">
      <c r="A18" s="7" t="s">
        <v>22</v>
      </c>
      <c r="B18" s="7" t="s">
        <v>23</v>
      </c>
      <c r="C18" s="7" t="s">
        <v>24</v>
      </c>
      <c r="D18" s="7" t="s">
        <v>25</v>
      </c>
    </row>
    <row r="19" spans="1:4">
      <c r="A19" s="7" t="s">
        <v>26</v>
      </c>
      <c r="B19" s="7" t="s">
        <v>27</v>
      </c>
      <c r="C19" s="7" t="s">
        <v>20</v>
      </c>
      <c r="D19" s="7" t="s">
        <v>28</v>
      </c>
    </row>
    <row r="20" spans="1:4">
      <c r="A20" s="7" t="s">
        <v>29</v>
      </c>
      <c r="B20" s="7"/>
      <c r="C20" s="7"/>
      <c r="D20" s="7"/>
    </row>
    <row r="22" spans="1:4" ht="17.399999999999999">
      <c r="A22" s="1" t="s">
        <v>30</v>
      </c>
    </row>
    <row r="23" spans="1:4" ht="27.6">
      <c r="A23" s="6" t="s">
        <v>31</v>
      </c>
      <c r="B23" s="6" t="s">
        <v>32</v>
      </c>
      <c r="C23" s="6" t="s">
        <v>33</v>
      </c>
    </row>
    <row r="24" spans="1:4">
      <c r="A24" s="7" t="s">
        <v>34</v>
      </c>
      <c r="B24" s="8">
        <v>0</v>
      </c>
      <c r="C24" s="9" t="s">
        <v>35</v>
      </c>
    </row>
    <row r="25" spans="1:4">
      <c r="A25" s="7" t="s">
        <v>36</v>
      </c>
      <c r="B25" s="8">
        <v>0</v>
      </c>
      <c r="C25" s="9" t="s">
        <v>35</v>
      </c>
    </row>
    <row r="26" spans="1:4">
      <c r="A26" s="7" t="s">
        <v>37</v>
      </c>
      <c r="B26" s="8">
        <v>0</v>
      </c>
      <c r="C26" s="9" t="s">
        <v>35</v>
      </c>
    </row>
    <row r="27" spans="1:4">
      <c r="A27" s="7" t="s">
        <v>38</v>
      </c>
      <c r="B27" s="8">
        <v>0</v>
      </c>
      <c r="C27" s="9" t="s">
        <v>35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6"/>
  <sheetViews>
    <sheetView topLeftCell="A11" zoomScale="70" zoomScaleNormal="70" workbookViewId="0">
      <selection activeCell="B16" sqref="B16"/>
    </sheetView>
  </sheetViews>
  <sheetFormatPr defaultRowHeight="14.4"/>
  <cols>
    <col min="1" max="1" width="8" style="22" customWidth="1"/>
    <col min="2" max="3" width="18" style="22" customWidth="1"/>
    <col min="4" max="4" width="25" style="22" customWidth="1"/>
    <col min="5" max="5" width="30" style="22" customWidth="1"/>
    <col min="6" max="6" width="35" style="22" customWidth="1"/>
    <col min="7" max="7" width="50" style="22" customWidth="1"/>
    <col min="8" max="8" width="20" style="22" customWidth="1"/>
    <col min="9" max="16384" width="8.88671875" style="22"/>
  </cols>
  <sheetData>
    <row r="1" spans="1:9" ht="14.4" customHeight="1">
      <c r="A1" s="28" t="s">
        <v>39</v>
      </c>
    </row>
    <row r="2" spans="1:9" ht="30" customHeight="1">
      <c r="A2" s="27" t="s">
        <v>40</v>
      </c>
    </row>
    <row r="3" spans="1:9" ht="40.049999999999997" customHeight="1">
      <c r="A3" s="23" t="s">
        <v>41</v>
      </c>
      <c r="B3" s="23" t="s">
        <v>42</v>
      </c>
      <c r="C3" s="23" t="s">
        <v>43</v>
      </c>
      <c r="D3" s="23" t="s">
        <v>44</v>
      </c>
      <c r="E3" s="23" t="s">
        <v>45</v>
      </c>
      <c r="F3" s="23" t="s">
        <v>46</v>
      </c>
      <c r="G3" s="23" t="s">
        <v>47</v>
      </c>
      <c r="H3" s="23" t="s">
        <v>48</v>
      </c>
    </row>
    <row r="4" spans="1:9" ht="100.05" customHeight="1">
      <c r="A4" s="7">
        <v>1</v>
      </c>
      <c r="B4" s="7" t="s">
        <v>50</v>
      </c>
      <c r="C4" s="7" t="s">
        <v>34</v>
      </c>
      <c r="D4" s="7" t="s">
        <v>51</v>
      </c>
      <c r="E4" s="7" t="s">
        <v>52</v>
      </c>
      <c r="F4" s="7" t="s">
        <v>53</v>
      </c>
      <c r="G4" s="7" t="s">
        <v>54</v>
      </c>
      <c r="H4" s="7" t="s">
        <v>55</v>
      </c>
    </row>
    <row r="5" spans="1:9" ht="100.05" customHeight="1">
      <c r="A5" s="7" t="s">
        <v>56</v>
      </c>
      <c r="B5" s="7" t="s">
        <v>57</v>
      </c>
      <c r="C5" s="7" t="s">
        <v>38</v>
      </c>
      <c r="D5" s="7" t="s">
        <v>58</v>
      </c>
      <c r="E5" s="7" t="s">
        <v>59</v>
      </c>
      <c r="F5" s="7" t="s">
        <v>60</v>
      </c>
      <c r="G5" s="7" t="s">
        <v>61</v>
      </c>
      <c r="H5" s="7" t="s">
        <v>62</v>
      </c>
    </row>
    <row r="6" spans="1:9" ht="100.05" customHeight="1" thickBot="1">
      <c r="A6" s="7" t="s">
        <v>63</v>
      </c>
      <c r="B6" s="7" t="s">
        <v>64</v>
      </c>
      <c r="C6" s="7" t="s">
        <v>65</v>
      </c>
      <c r="D6" s="7" t="s">
        <v>66</v>
      </c>
      <c r="E6" s="7" t="s">
        <v>67</v>
      </c>
      <c r="F6" s="7" t="s">
        <v>68</v>
      </c>
      <c r="G6" s="7" t="s">
        <v>69</v>
      </c>
      <c r="H6" s="7" t="s">
        <v>70</v>
      </c>
    </row>
    <row r="7" spans="1:9" ht="79.95" customHeight="1" thickBot="1">
      <c r="A7" s="7">
        <v>4</v>
      </c>
      <c r="B7" s="26" t="s">
        <v>50</v>
      </c>
      <c r="C7" s="24" t="s">
        <v>140</v>
      </c>
      <c r="D7" s="25" t="s">
        <v>141</v>
      </c>
      <c r="E7" s="7" t="s">
        <v>142</v>
      </c>
      <c r="F7" s="7" t="s">
        <v>144</v>
      </c>
      <c r="G7" s="7" t="s">
        <v>145</v>
      </c>
      <c r="H7" s="7" t="s">
        <v>143</v>
      </c>
    </row>
    <row r="8" spans="1:9" ht="79.95" customHeight="1" thickBot="1">
      <c r="A8" s="7">
        <v>5</v>
      </c>
      <c r="B8" s="26" t="s">
        <v>50</v>
      </c>
      <c r="C8" s="24" t="s">
        <v>146</v>
      </c>
      <c r="D8" s="22" t="s">
        <v>147</v>
      </c>
      <c r="E8" s="7" t="s">
        <v>148</v>
      </c>
      <c r="F8" s="22" t="s">
        <v>149</v>
      </c>
      <c r="G8" s="7" t="s">
        <v>150</v>
      </c>
      <c r="H8" s="22" t="s">
        <v>151</v>
      </c>
    </row>
    <row r="9" spans="1:9" ht="79.95" customHeight="1">
      <c r="A9" s="7">
        <v>6</v>
      </c>
      <c r="B9" s="22" t="s">
        <v>64</v>
      </c>
      <c r="C9" s="22" t="s">
        <v>157</v>
      </c>
      <c r="D9" s="22" t="s">
        <v>156</v>
      </c>
      <c r="E9" s="22" t="s">
        <v>155</v>
      </c>
      <c r="F9" s="7" t="s">
        <v>154</v>
      </c>
      <c r="G9" s="7" t="s">
        <v>153</v>
      </c>
      <c r="H9" s="22" t="s">
        <v>152</v>
      </c>
    </row>
    <row r="10" spans="1:9" ht="79.95" customHeight="1">
      <c r="A10" s="7">
        <v>7</v>
      </c>
      <c r="B10" s="22" t="s">
        <v>64</v>
      </c>
      <c r="C10" s="22" t="s">
        <v>158</v>
      </c>
      <c r="D10" s="22" t="s">
        <v>160</v>
      </c>
      <c r="E10" s="22" t="s">
        <v>162</v>
      </c>
      <c r="F10" s="22" t="s">
        <v>167</v>
      </c>
      <c r="G10" s="7" t="s">
        <v>169</v>
      </c>
      <c r="H10" s="7" t="s">
        <v>166</v>
      </c>
    </row>
    <row r="11" spans="1:9" ht="79.95" customHeight="1" thickBot="1">
      <c r="A11" s="7">
        <v>8</v>
      </c>
      <c r="B11" s="22" t="s">
        <v>50</v>
      </c>
      <c r="C11" s="22" t="s">
        <v>159</v>
      </c>
      <c r="D11" s="22" t="s">
        <v>161</v>
      </c>
      <c r="E11" s="22" t="s">
        <v>163</v>
      </c>
      <c r="F11" s="22" t="s">
        <v>168</v>
      </c>
      <c r="G11" s="7" t="s">
        <v>164</v>
      </c>
      <c r="H11" s="7" t="s">
        <v>166</v>
      </c>
    </row>
    <row r="12" spans="1:9" ht="79.95" customHeight="1" thickBot="1">
      <c r="A12" s="7">
        <v>9</v>
      </c>
      <c r="B12" s="24" t="s">
        <v>64</v>
      </c>
      <c r="C12" s="19" t="s">
        <v>158</v>
      </c>
      <c r="D12" s="24" t="s">
        <v>170</v>
      </c>
      <c r="E12" s="31" t="s">
        <v>171</v>
      </c>
      <c r="F12" s="24" t="s">
        <v>172</v>
      </c>
      <c r="G12" s="26" t="s">
        <v>165</v>
      </c>
      <c r="H12" s="26" t="s">
        <v>173</v>
      </c>
    </row>
    <row r="13" spans="1:9" ht="79.95" customHeight="1" thickBot="1">
      <c r="A13" s="7">
        <v>10</v>
      </c>
      <c r="B13" s="7" t="s">
        <v>57</v>
      </c>
      <c r="C13" s="24" t="s">
        <v>174</v>
      </c>
      <c r="D13" s="25" t="s">
        <v>175</v>
      </c>
      <c r="E13" s="29" t="s">
        <v>176</v>
      </c>
      <c r="F13" s="25" t="s">
        <v>177</v>
      </c>
      <c r="G13" s="7" t="s">
        <v>178</v>
      </c>
      <c r="H13" s="7" t="s">
        <v>166</v>
      </c>
      <c r="I13" s="30"/>
    </row>
    <row r="14" spans="1:9" ht="79.95" customHeight="1" thickBot="1">
      <c r="A14" s="7">
        <v>11</v>
      </c>
      <c r="B14" s="7" t="s">
        <v>64</v>
      </c>
      <c r="C14" s="20" t="s">
        <v>179</v>
      </c>
      <c r="D14" s="7" t="s">
        <v>180</v>
      </c>
      <c r="E14" s="7" t="s">
        <v>181</v>
      </c>
      <c r="F14" s="7" t="s">
        <v>182</v>
      </c>
      <c r="G14" s="34" t="s">
        <v>183</v>
      </c>
      <c r="H14" s="7" t="s">
        <v>166</v>
      </c>
    </row>
    <row r="15" spans="1:9" ht="79.95" customHeight="1">
      <c r="A15" s="7">
        <v>12</v>
      </c>
      <c r="B15" s="7" t="s">
        <v>64</v>
      </c>
      <c r="C15" s="7" t="s">
        <v>184</v>
      </c>
      <c r="D15" s="7" t="s">
        <v>185</v>
      </c>
      <c r="E15" s="7" t="s">
        <v>186</v>
      </c>
      <c r="F15" s="7" t="s">
        <v>187</v>
      </c>
      <c r="G15" s="32" t="s">
        <v>188</v>
      </c>
      <c r="H15" s="7" t="s">
        <v>189</v>
      </c>
    </row>
    <row r="16" spans="1:9" ht="79.95" customHeight="1">
      <c r="A16" s="7">
        <v>13</v>
      </c>
      <c r="B16" s="21"/>
      <c r="C16" s="7"/>
      <c r="D16" s="7"/>
      <c r="E16" s="7"/>
      <c r="F16" s="7"/>
      <c r="G16" s="32"/>
      <c r="H16" s="7"/>
    </row>
    <row r="17" spans="1:8" ht="79.95" customHeight="1" thickBot="1">
      <c r="A17" s="7">
        <v>14</v>
      </c>
      <c r="B17" s="7"/>
      <c r="C17" s="7"/>
      <c r="D17" s="7"/>
      <c r="E17" s="7"/>
      <c r="F17" s="7"/>
      <c r="G17" s="33"/>
      <c r="H17" s="7"/>
    </row>
    <row r="18" spans="1:8" ht="79.95" customHeight="1">
      <c r="A18" s="7">
        <v>15</v>
      </c>
      <c r="B18" s="7"/>
      <c r="C18" s="7"/>
      <c r="D18" s="7"/>
      <c r="E18" s="7"/>
      <c r="F18" s="7"/>
      <c r="G18" s="7"/>
      <c r="H18" s="7"/>
    </row>
    <row r="19" spans="1:8" ht="79.95" customHeight="1">
      <c r="A19" s="7"/>
      <c r="B19" s="7"/>
      <c r="C19" s="7"/>
      <c r="D19" s="7"/>
      <c r="E19" s="7"/>
      <c r="F19" s="7"/>
      <c r="G19" s="7"/>
      <c r="H19" s="7"/>
    </row>
    <row r="20" spans="1:8" ht="79.95" customHeight="1">
      <c r="A20" s="7"/>
      <c r="B20" s="7"/>
      <c r="C20" s="7"/>
      <c r="D20" s="7"/>
      <c r="E20" s="7"/>
      <c r="F20" s="7"/>
      <c r="G20" s="7"/>
      <c r="H20" s="7"/>
    </row>
    <row r="21" spans="1:8" ht="79.95" customHeight="1">
      <c r="A21" s="7"/>
      <c r="B21" s="7"/>
      <c r="C21" s="7"/>
      <c r="D21" s="7"/>
      <c r="E21" s="7"/>
      <c r="F21" s="7"/>
      <c r="G21" s="7"/>
      <c r="H21" s="7"/>
    </row>
    <row r="22" spans="1:8" ht="79.95" customHeight="1">
      <c r="A22" s="7"/>
      <c r="B22" s="7"/>
      <c r="C22" s="7"/>
      <c r="D22" s="7"/>
      <c r="E22" s="7"/>
      <c r="F22" s="7"/>
      <c r="G22" s="7"/>
      <c r="H22" s="7"/>
    </row>
    <row r="23" spans="1:8" ht="79.95" customHeight="1">
      <c r="A23" s="7"/>
      <c r="B23" s="7"/>
      <c r="C23" s="7"/>
      <c r="D23" s="7"/>
      <c r="E23" s="7"/>
      <c r="F23" s="7"/>
      <c r="G23" s="7"/>
      <c r="H23" s="7"/>
    </row>
    <row r="24" spans="1:8" ht="79.95" customHeight="1">
      <c r="A24" s="7"/>
      <c r="B24" s="7"/>
      <c r="C24" s="7"/>
      <c r="D24" s="7"/>
      <c r="E24" s="7"/>
      <c r="F24" s="7"/>
      <c r="G24" s="7"/>
      <c r="H24" s="7"/>
    </row>
    <row r="25" spans="1:8" ht="79.95" customHeight="1">
      <c r="A25" s="7"/>
      <c r="B25" s="7"/>
      <c r="C25" s="7"/>
      <c r="D25" s="7"/>
      <c r="E25" s="7"/>
      <c r="F25" s="7"/>
      <c r="G25" s="7"/>
      <c r="H25" s="7"/>
    </row>
    <row r="26" spans="1:8" ht="79.95" customHeight="1">
      <c r="A26" s="7"/>
      <c r="B26" s="7"/>
      <c r="C26" s="7"/>
      <c r="D26" s="7"/>
      <c r="E26" s="7"/>
      <c r="F26" s="7"/>
      <c r="G26" s="7"/>
      <c r="H26" s="7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36"/>
  <sheetViews>
    <sheetView tabSelected="1" workbookViewId="0">
      <selection activeCell="G4" sqref="G4"/>
    </sheetView>
  </sheetViews>
  <sheetFormatPr defaultRowHeight="14.4"/>
  <cols>
    <col min="1" max="1" width="12" customWidth="1"/>
    <col min="2" max="2" width="22" customWidth="1"/>
    <col min="3" max="6" width="30" customWidth="1"/>
  </cols>
  <sheetData>
    <row r="1" spans="1:9">
      <c r="A1" s="38" t="s">
        <v>71</v>
      </c>
      <c r="B1" s="36"/>
      <c r="C1" s="36"/>
      <c r="D1" s="36"/>
      <c r="E1" s="36"/>
      <c r="F1" s="36"/>
    </row>
    <row r="2" spans="1:9">
      <c r="A2" s="37" t="s">
        <v>72</v>
      </c>
      <c r="B2" s="36"/>
      <c r="C2" s="36"/>
      <c r="D2" s="36"/>
      <c r="E2" s="36"/>
      <c r="F2" s="36"/>
    </row>
    <row r="3" spans="1:9" ht="40.049999999999997" customHeight="1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</row>
    <row r="4" spans="1:9" ht="60" customHeight="1">
      <c r="A4" s="7" t="s">
        <v>63</v>
      </c>
      <c r="B4" s="7" t="s">
        <v>79</v>
      </c>
      <c r="C4" s="7" t="s">
        <v>80</v>
      </c>
      <c r="D4" s="7" t="s">
        <v>81</v>
      </c>
      <c r="E4" s="7" t="s">
        <v>82</v>
      </c>
      <c r="F4" s="7" t="s">
        <v>83</v>
      </c>
    </row>
    <row r="5" spans="1:9">
      <c r="A5" s="7" t="s">
        <v>29</v>
      </c>
      <c r="B5" s="7"/>
      <c r="C5" s="7"/>
      <c r="D5" s="7"/>
      <c r="E5" s="7"/>
      <c r="F5" s="7"/>
    </row>
    <row r="6" spans="1:9" ht="60" customHeight="1" thickBot="1">
      <c r="A6" s="7">
        <v>4</v>
      </c>
      <c r="B6" s="22" t="s">
        <v>190</v>
      </c>
      <c r="C6" s="22" t="s">
        <v>192</v>
      </c>
      <c r="D6" s="22" t="s">
        <v>199</v>
      </c>
      <c r="E6" s="22" t="s">
        <v>195</v>
      </c>
      <c r="F6" s="22" t="s">
        <v>197</v>
      </c>
      <c r="G6" s="22"/>
      <c r="H6" s="22"/>
      <c r="I6" s="22"/>
    </row>
    <row r="7" spans="1:9" ht="60" customHeight="1" thickBot="1">
      <c r="A7" s="7">
        <v>5</v>
      </c>
      <c r="B7" s="22" t="s">
        <v>191</v>
      </c>
      <c r="C7" s="22" t="s">
        <v>193</v>
      </c>
      <c r="D7" s="22" t="s">
        <v>194</v>
      </c>
      <c r="E7" s="22" t="s">
        <v>196</v>
      </c>
      <c r="F7" s="40" t="s">
        <v>198</v>
      </c>
      <c r="G7" s="22"/>
      <c r="H7" s="22"/>
      <c r="I7" s="22"/>
    </row>
    <row r="8" spans="1:9" ht="60" customHeight="1">
      <c r="A8" s="7"/>
      <c r="B8" s="7"/>
      <c r="C8" s="7"/>
      <c r="D8" s="7"/>
      <c r="E8" s="7"/>
      <c r="F8" s="7"/>
    </row>
    <row r="9" spans="1:9" ht="60" customHeight="1">
      <c r="A9" s="7"/>
      <c r="B9" s="7"/>
      <c r="C9" s="7"/>
      <c r="D9" s="7"/>
      <c r="E9" s="7"/>
      <c r="F9" s="7"/>
    </row>
    <row r="10" spans="1:9" ht="60" customHeight="1">
      <c r="A10" s="7"/>
      <c r="B10" s="7"/>
      <c r="C10" s="7"/>
      <c r="D10" s="7"/>
      <c r="E10" s="7"/>
      <c r="F10" s="7"/>
    </row>
    <row r="11" spans="1:9" ht="60" customHeight="1">
      <c r="A11" s="7"/>
      <c r="B11" s="7"/>
      <c r="C11" s="7"/>
      <c r="D11" s="7"/>
      <c r="E11" s="7"/>
      <c r="F11" s="7"/>
    </row>
    <row r="12" spans="1:9" ht="60" customHeight="1">
      <c r="A12" s="7"/>
      <c r="B12" s="7"/>
      <c r="C12" s="7"/>
      <c r="D12" s="7"/>
      <c r="E12" s="7"/>
      <c r="F12" s="7"/>
    </row>
    <row r="13" spans="1:9" ht="60" customHeight="1">
      <c r="A13" s="7"/>
      <c r="B13" s="7"/>
      <c r="C13" s="7"/>
      <c r="D13" s="7"/>
      <c r="E13" s="7"/>
      <c r="F13" s="7"/>
    </row>
    <row r="14" spans="1:9" ht="60" customHeight="1">
      <c r="A14" s="7"/>
      <c r="B14" s="7"/>
      <c r="C14" s="7"/>
      <c r="D14" s="7"/>
      <c r="E14" s="7"/>
      <c r="F14" s="7"/>
    </row>
    <row r="15" spans="1:9" ht="60" customHeight="1">
      <c r="A15" s="7"/>
      <c r="B15" s="7"/>
      <c r="C15" s="7"/>
      <c r="D15" s="7"/>
      <c r="E15" s="7"/>
      <c r="F15" s="7"/>
    </row>
    <row r="16" spans="1:9" ht="60" customHeight="1">
      <c r="A16" s="7"/>
      <c r="B16" s="7"/>
      <c r="C16" s="7"/>
      <c r="D16" s="7"/>
      <c r="E16" s="7"/>
      <c r="F16" s="7"/>
    </row>
    <row r="17" spans="1:6" ht="60" customHeight="1">
      <c r="A17" s="7"/>
      <c r="B17" s="7"/>
      <c r="C17" s="7"/>
      <c r="D17" s="7"/>
      <c r="E17" s="7"/>
      <c r="F17" s="7"/>
    </row>
    <row r="18" spans="1:6" ht="60" customHeight="1">
      <c r="A18" s="7"/>
      <c r="B18" s="7"/>
      <c r="C18" s="7"/>
      <c r="D18" s="7"/>
      <c r="E18" s="7"/>
      <c r="F18" s="7"/>
    </row>
    <row r="19" spans="1:6" ht="60" customHeight="1">
      <c r="A19" s="7"/>
      <c r="B19" s="7"/>
      <c r="C19" s="7"/>
      <c r="D19" s="7"/>
      <c r="E19" s="7"/>
      <c r="F19" s="7"/>
    </row>
    <row r="20" spans="1:6" ht="60" customHeight="1">
      <c r="A20" s="7"/>
      <c r="B20" s="7"/>
      <c r="C20" s="7"/>
      <c r="D20" s="7"/>
      <c r="E20" s="7"/>
      <c r="F20" s="7"/>
    </row>
    <row r="21" spans="1:6" ht="60" customHeight="1">
      <c r="A21" s="7"/>
      <c r="B21" s="7"/>
      <c r="C21" s="7"/>
      <c r="D21" s="7"/>
      <c r="E21" s="7"/>
      <c r="F21" s="7"/>
    </row>
    <row r="22" spans="1:6" ht="60" customHeight="1">
      <c r="A22" s="7"/>
      <c r="B22" s="7"/>
      <c r="C22" s="7"/>
      <c r="D22" s="7"/>
      <c r="E22" s="7"/>
      <c r="F22" s="7"/>
    </row>
    <row r="23" spans="1:6" ht="60" customHeight="1">
      <c r="A23" s="7"/>
      <c r="B23" s="7"/>
      <c r="C23" s="7"/>
      <c r="D23" s="7"/>
      <c r="E23" s="7"/>
      <c r="F23" s="7"/>
    </row>
    <row r="24" spans="1:6" ht="60" customHeight="1">
      <c r="A24" s="7"/>
      <c r="B24" s="7"/>
      <c r="C24" s="7"/>
      <c r="D24" s="7"/>
      <c r="E24" s="7"/>
      <c r="F24" s="7"/>
    </row>
    <row r="30" spans="1:6" ht="17.399999999999999">
      <c r="A30" s="1" t="s">
        <v>84</v>
      </c>
    </row>
    <row r="31" spans="1:6">
      <c r="A31" s="10" t="s">
        <v>85</v>
      </c>
      <c r="B31" s="10" t="s">
        <v>86</v>
      </c>
      <c r="C31" s="10" t="s">
        <v>87</v>
      </c>
    </row>
    <row r="32" spans="1:6" ht="28.8">
      <c r="A32" s="7" t="s">
        <v>79</v>
      </c>
      <c r="B32" s="7" t="s">
        <v>88</v>
      </c>
      <c r="C32" s="7" t="s">
        <v>89</v>
      </c>
    </row>
    <row r="33" spans="1:3" ht="28.8">
      <c r="A33" s="7" t="s">
        <v>90</v>
      </c>
      <c r="B33" s="7" t="s">
        <v>91</v>
      </c>
      <c r="C33" s="7" t="s">
        <v>92</v>
      </c>
    </row>
    <row r="34" spans="1:3" ht="28.8">
      <c r="A34" s="7" t="s">
        <v>93</v>
      </c>
      <c r="B34" s="7" t="s">
        <v>94</v>
      </c>
      <c r="C34" s="7" t="s">
        <v>95</v>
      </c>
    </row>
    <row r="35" spans="1:3" ht="28.8">
      <c r="A35" s="7" t="s">
        <v>96</v>
      </c>
      <c r="B35" s="7" t="s">
        <v>97</v>
      </c>
      <c r="C35" s="7" t="s">
        <v>98</v>
      </c>
    </row>
    <row r="36" spans="1:3" ht="43.2">
      <c r="A36" s="7" t="s">
        <v>99</v>
      </c>
      <c r="B36" s="7" t="s">
        <v>100</v>
      </c>
      <c r="C36" s="7" t="s">
        <v>101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30"/>
  <sheetViews>
    <sheetView workbookViewId="0">
      <selection sqref="A1:D1"/>
    </sheetView>
  </sheetViews>
  <sheetFormatPr defaultRowHeight="14.4"/>
  <cols>
    <col min="1" max="1" width="8" customWidth="1"/>
    <col min="2" max="2" width="60" customWidth="1"/>
    <col min="3" max="3" width="10" customWidth="1"/>
    <col min="4" max="4" width="30" customWidth="1"/>
  </cols>
  <sheetData>
    <row r="1" spans="1:4">
      <c r="A1" s="35" t="s">
        <v>102</v>
      </c>
      <c r="B1" s="36"/>
      <c r="C1" s="36"/>
      <c r="D1" s="36"/>
    </row>
    <row r="2" spans="1:4">
      <c r="A2" s="39" t="s">
        <v>103</v>
      </c>
      <c r="B2" s="36"/>
      <c r="C2" s="36"/>
      <c r="D2" s="36"/>
    </row>
    <row r="4" spans="1:4" ht="17.399999999999999">
      <c r="A4" s="1" t="s">
        <v>104</v>
      </c>
    </row>
    <row r="5" spans="1:4">
      <c r="A5" s="6" t="s">
        <v>105</v>
      </c>
      <c r="B5" s="11" t="s">
        <v>106</v>
      </c>
      <c r="C5" s="6" t="s">
        <v>107</v>
      </c>
      <c r="D5" s="11" t="s">
        <v>108</v>
      </c>
    </row>
    <row r="6" spans="1:4">
      <c r="A6" s="12" t="s">
        <v>109</v>
      </c>
      <c r="B6" s="13" t="s">
        <v>110</v>
      </c>
      <c r="C6" s="12" t="s">
        <v>111</v>
      </c>
      <c r="D6" s="13"/>
    </row>
    <row r="7" spans="1:4">
      <c r="A7" s="12" t="s">
        <v>112</v>
      </c>
      <c r="B7" s="13" t="s">
        <v>113</v>
      </c>
      <c r="C7" s="12" t="s">
        <v>111</v>
      </c>
      <c r="D7" s="13"/>
    </row>
    <row r="8" spans="1:4">
      <c r="A8" s="12" t="s">
        <v>114</v>
      </c>
      <c r="B8" s="13" t="s">
        <v>115</v>
      </c>
      <c r="C8" s="12" t="s">
        <v>111</v>
      </c>
      <c r="D8" s="13"/>
    </row>
    <row r="9" spans="1:4">
      <c r="A9" s="12" t="s">
        <v>116</v>
      </c>
      <c r="B9" s="13" t="s">
        <v>117</v>
      </c>
      <c r="C9" s="12" t="s">
        <v>111</v>
      </c>
      <c r="D9" s="13"/>
    </row>
    <row r="10" spans="1:4">
      <c r="A10" s="12" t="s">
        <v>118</v>
      </c>
      <c r="B10" s="13" t="s">
        <v>119</v>
      </c>
      <c r="C10" s="12" t="s">
        <v>111</v>
      </c>
      <c r="D10" s="13"/>
    </row>
    <row r="12" spans="1:4" ht="17.399999999999999">
      <c r="A12" s="1" t="s">
        <v>120</v>
      </c>
    </row>
    <row r="13" spans="1:4">
      <c r="A13" s="6" t="s">
        <v>105</v>
      </c>
      <c r="B13" s="11" t="s">
        <v>106</v>
      </c>
      <c r="C13" s="6" t="s">
        <v>107</v>
      </c>
      <c r="D13" s="11" t="s">
        <v>121</v>
      </c>
    </row>
    <row r="14" spans="1:4">
      <c r="A14" s="12" t="s">
        <v>109</v>
      </c>
      <c r="B14" s="13" t="s">
        <v>122</v>
      </c>
      <c r="C14" s="12" t="s">
        <v>111</v>
      </c>
      <c r="D14" s="13"/>
    </row>
    <row r="15" spans="1:4">
      <c r="A15" s="12" t="s">
        <v>112</v>
      </c>
      <c r="B15" s="13" t="s">
        <v>123</v>
      </c>
      <c r="C15" s="12" t="s">
        <v>111</v>
      </c>
      <c r="D15" s="13"/>
    </row>
    <row r="16" spans="1:4">
      <c r="A16" s="12" t="s">
        <v>114</v>
      </c>
      <c r="B16" s="13" t="s">
        <v>124</v>
      </c>
      <c r="C16" s="12" t="s">
        <v>111</v>
      </c>
      <c r="D16" s="13"/>
    </row>
    <row r="17" spans="1:4">
      <c r="A17" s="12" t="s">
        <v>116</v>
      </c>
      <c r="B17" s="13" t="s">
        <v>125</v>
      </c>
      <c r="C17" s="12" t="s">
        <v>111</v>
      </c>
      <c r="D17" s="13"/>
    </row>
    <row r="18" spans="1:4">
      <c r="A18" s="12" t="s">
        <v>118</v>
      </c>
      <c r="B18" s="13" t="s">
        <v>126</v>
      </c>
      <c r="C18" s="12" t="s">
        <v>111</v>
      </c>
      <c r="D18" s="13"/>
    </row>
    <row r="20" spans="1:4" ht="15.6">
      <c r="A20" s="14" t="s">
        <v>127</v>
      </c>
    </row>
    <row r="21" spans="1:4">
      <c r="A21" s="15" t="s">
        <v>128</v>
      </c>
    </row>
    <row r="22" spans="1:4">
      <c r="A22" s="15" t="s">
        <v>129</v>
      </c>
    </row>
    <row r="25" spans="1:4" ht="17.399999999999999">
      <c r="A25" s="1" t="s">
        <v>130</v>
      </c>
    </row>
    <row r="26" spans="1:4">
      <c r="A26" s="16" t="s">
        <v>131</v>
      </c>
    </row>
    <row r="27" spans="1:4" ht="55.2">
      <c r="A27" s="17" t="s">
        <v>41</v>
      </c>
      <c r="B27" s="10" t="s">
        <v>132</v>
      </c>
      <c r="C27" s="10" t="s">
        <v>133</v>
      </c>
      <c r="D27" s="10" t="s">
        <v>134</v>
      </c>
    </row>
    <row r="28" spans="1:4">
      <c r="A28" s="9" t="s">
        <v>49</v>
      </c>
      <c r="B28" s="7"/>
      <c r="C28" s="7"/>
      <c r="D28" s="7"/>
    </row>
    <row r="29" spans="1:4">
      <c r="A29" s="9" t="s">
        <v>56</v>
      </c>
      <c r="B29" s="7"/>
      <c r="C29" s="7"/>
      <c r="D29" s="7"/>
    </row>
    <row r="30" spans="1:4">
      <c r="A30" s="9" t="s">
        <v>63</v>
      </c>
      <c r="B30" s="7"/>
      <c r="C30" s="7"/>
      <c r="D30" s="7"/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Metadata &amp; Summary</vt:lpstr>
      <vt:lpstr>2. Detailed Audit Log</vt:lpstr>
      <vt:lpstr>3. Hallucination Detection</vt:lpstr>
      <vt:lpstr>4. Self-Assessment 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Nguyễn Thị Kiều Oanh</cp:lastModifiedBy>
  <dcterms:created xsi:type="dcterms:W3CDTF">2026-05-07T22:28:42Z</dcterms:created>
  <dcterms:modified xsi:type="dcterms:W3CDTF">2026-06-07T15:18:57Z</dcterms:modified>
</cp:coreProperties>
</file>